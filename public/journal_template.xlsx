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bookViews>
    <workbookView xWindow="0" yWindow="0" windowWidth="20490" windowHeight="7530" activeTab="4"/>
  </bookViews>
  <sheets>
    <sheet name="Journal" sheetId="2" r:id="rId1"/>
    <sheet name="Detail1" sheetId="35" r:id="rId2"/>
    <sheet name="Sheet5" sheetId="37" r:id="rId3"/>
    <sheet name="Sheet3" sheetId="36" r:id="rId4"/>
    <sheet name="Sheet6" sheetId="38" r:id="rId5"/>
    <sheet name="Sheet2" sheetId="34" r:id="rId6"/>
    <sheet name="Sheet4" sheetId="33" r:id="rId7"/>
    <sheet name="Q1TB" sheetId="24" r:id="rId8"/>
    <sheet name="Interest Calculations" sheetId="9" r:id="rId9"/>
    <sheet name="Accounts" sheetId="1" r:id="rId10"/>
    <sheet name="Months" sheetId="3" r:id="rId11"/>
    <sheet name="Share capital entry" sheetId="7" r:id="rId12"/>
    <sheet name="Sheet1" sheetId="8" r:id="rId13"/>
  </sheets>
  <externalReferences>
    <externalReference r:id="rId14"/>
  </externalReferences>
  <calcPr calcId="162913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6" i="38" l="1"/>
  <c r="F18" i="37" l="1"/>
  <c r="F17" i="37"/>
  <c r="F16" i="37"/>
  <c r="F15" i="37"/>
  <c r="F14" i="37"/>
  <c r="F13" i="37"/>
  <c r="F3" i="37"/>
  <c r="F4" i="37"/>
  <c r="F5" i="37"/>
  <c r="F6" i="37"/>
  <c r="F7" i="37"/>
  <c r="F8" i="37"/>
  <c r="F9" i="37"/>
  <c r="F10" i="37"/>
  <c r="F11" i="37"/>
  <c r="F2" i="37"/>
  <c r="E14" i="37"/>
  <c r="E15" i="37"/>
  <c r="E16" i="37"/>
  <c r="E17" i="37"/>
  <c r="E18" i="37"/>
  <c r="E13" i="37"/>
  <c r="E3" i="37"/>
  <c r="E4" i="37"/>
  <c r="E5" i="37"/>
  <c r="E6" i="37"/>
  <c r="E7" i="37"/>
  <c r="E8" i="37"/>
  <c r="E9" i="37"/>
  <c r="E10" i="37"/>
  <c r="E11" i="37"/>
  <c r="E2" i="37"/>
  <c r="G28" i="33" l="1"/>
  <c r="F28" i="33"/>
  <c r="E4" i="33"/>
  <c r="E5" i="33"/>
  <c r="E6" i="33"/>
  <c r="E7" i="33"/>
  <c r="E8" i="33"/>
  <c r="E9" i="33"/>
  <c r="E10" i="33"/>
  <c r="E11" i="33"/>
  <c r="E12" i="33"/>
  <c r="E13" i="33"/>
  <c r="E14" i="33"/>
  <c r="E15" i="33"/>
  <c r="E16" i="33"/>
  <c r="E17" i="33"/>
  <c r="E18" i="33"/>
  <c r="E19" i="33"/>
  <c r="E20" i="33"/>
  <c r="E21" i="33"/>
  <c r="E22" i="33"/>
  <c r="E23" i="33"/>
  <c r="E24" i="33"/>
  <c r="E25" i="33"/>
  <c r="E26" i="33"/>
  <c r="E27" i="33"/>
  <c r="E28" i="33"/>
  <c r="E3" i="33"/>
  <c r="D575" i="2"/>
  <c r="D576" i="2"/>
  <c r="D574" i="2"/>
  <c r="D573" i="2"/>
  <c r="D572" i="2"/>
  <c r="D571" i="2"/>
  <c r="E25" i="9"/>
  <c r="E22" i="9"/>
  <c r="E21" i="9"/>
  <c r="E20" i="9"/>
  <c r="E19" i="9"/>
  <c r="E18" i="9"/>
  <c r="E17" i="9"/>
  <c r="E16" i="9"/>
  <c r="E15" i="9"/>
  <c r="E13" i="9"/>
  <c r="E14" i="9"/>
  <c r="D566" i="2"/>
  <c r="D565" i="2"/>
  <c r="D564" i="2"/>
  <c r="D563" i="2"/>
  <c r="D562" i="2"/>
  <c r="D561" i="2"/>
  <c r="G558" i="2"/>
  <c r="I558" i="2" s="1"/>
  <c r="G551" i="2"/>
  <c r="D547" i="2"/>
  <c r="D540" i="2"/>
  <c r="G540" i="2"/>
  <c r="D533" i="2"/>
  <c r="G533" i="2"/>
  <c r="G484" i="2"/>
  <c r="I483" i="2" s="1"/>
  <c r="D481" i="2"/>
  <c r="D480" i="2"/>
  <c r="G467" i="2"/>
  <c r="D454" i="2"/>
  <c r="D448" i="2"/>
  <c r="D447" i="2"/>
  <c r="D415" i="2"/>
  <c r="D398" i="2"/>
  <c r="D397" i="2"/>
  <c r="D396" i="2"/>
  <c r="D395" i="2"/>
  <c r="D394" i="2"/>
  <c r="D393" i="2"/>
  <c r="D390" i="2"/>
  <c r="D383" i="2"/>
  <c r="D377" i="2"/>
  <c r="D376" i="2"/>
  <c r="D370" i="2"/>
  <c r="F370" i="2"/>
  <c r="D436" i="2"/>
  <c r="D361" i="2"/>
  <c r="D353" i="2"/>
  <c r="D340" i="2"/>
  <c r="D339" i="2"/>
  <c r="D328" i="2"/>
  <c r="D320" i="2"/>
  <c r="D321" i="2"/>
  <c r="D322" i="2"/>
  <c r="D323" i="2"/>
  <c r="D305" i="2"/>
  <c r="D294" i="2"/>
  <c r="F289" i="2"/>
  <c r="D289" i="2"/>
  <c r="D270" i="2"/>
  <c r="D570" i="2"/>
  <c r="D569" i="2"/>
  <c r="D568" i="2"/>
  <c r="D567" i="2"/>
  <c r="D560" i="2"/>
  <c r="D559" i="2"/>
  <c r="D558" i="2"/>
  <c r="D557" i="2"/>
  <c r="D556" i="2"/>
  <c r="D555" i="2"/>
  <c r="D554" i="2"/>
  <c r="D553" i="2"/>
  <c r="D552" i="2"/>
  <c r="D551" i="2"/>
  <c r="D550" i="2"/>
  <c r="D549" i="2"/>
  <c r="D548" i="2"/>
  <c r="D546" i="2"/>
  <c r="D545" i="2"/>
  <c r="D544" i="2"/>
  <c r="D543" i="2"/>
  <c r="D542" i="2"/>
  <c r="D534" i="2"/>
  <c r="D532" i="2"/>
  <c r="D541" i="2"/>
  <c r="D539" i="2"/>
  <c r="D538" i="2"/>
  <c r="D537" i="2"/>
  <c r="D536" i="2"/>
  <c r="D535" i="2"/>
  <c r="D531" i="2"/>
  <c r="D530" i="2"/>
  <c r="D529" i="2"/>
  <c r="D528" i="2"/>
  <c r="D527" i="2"/>
  <c r="D526" i="2"/>
  <c r="D525" i="2"/>
  <c r="D524" i="2"/>
  <c r="D523" i="2"/>
  <c r="D522" i="2"/>
  <c r="D521" i="2"/>
  <c r="D520" i="2"/>
  <c r="D519" i="2"/>
  <c r="D518" i="2"/>
  <c r="D517" i="2"/>
  <c r="D516" i="2"/>
  <c r="D515" i="2"/>
  <c r="D514" i="2"/>
  <c r="D513" i="2"/>
  <c r="D512" i="2"/>
  <c r="D511" i="2"/>
  <c r="D510" i="2"/>
  <c r="D509" i="2"/>
  <c r="D508" i="2"/>
  <c r="D507" i="2"/>
  <c r="D506" i="2"/>
  <c r="D505" i="2"/>
  <c r="D504" i="2"/>
  <c r="D503" i="2"/>
  <c r="D502" i="2"/>
  <c r="D501" i="2"/>
  <c r="D500" i="2"/>
  <c r="D499" i="2"/>
  <c r="D498" i="2"/>
  <c r="D497" i="2"/>
  <c r="D496" i="2"/>
  <c r="D495" i="2"/>
  <c r="D494" i="2"/>
  <c r="D493" i="2"/>
  <c r="D492" i="2"/>
  <c r="D491" i="2"/>
  <c r="D484" i="2"/>
  <c r="D483" i="2"/>
  <c r="D482" i="2"/>
  <c r="E27" i="34"/>
  <c r="E26" i="9" l="1"/>
  <c r="D490" i="2"/>
  <c r="D489" i="2"/>
  <c r="D488" i="2"/>
  <c r="D487" i="2"/>
  <c r="D486" i="2"/>
  <c r="D485" i="2"/>
  <c r="D479" i="2"/>
  <c r="D478" i="2"/>
  <c r="D477" i="2"/>
  <c r="D476" i="2"/>
  <c r="D475" i="2"/>
  <c r="D474" i="2"/>
  <c r="D473" i="2"/>
  <c r="D472" i="2"/>
  <c r="D471" i="2"/>
  <c r="D470" i="2"/>
  <c r="D469" i="2"/>
  <c r="D468" i="2"/>
  <c r="D467" i="2"/>
  <c r="D466" i="2"/>
  <c r="D465" i="2"/>
  <c r="D464" i="2"/>
  <c r="D463" i="2"/>
  <c r="D462" i="2"/>
  <c r="D461" i="2"/>
  <c r="D460" i="2"/>
  <c r="D459" i="2"/>
  <c r="D458" i="2"/>
  <c r="D457" i="2"/>
  <c r="D456" i="2"/>
  <c r="D455" i="2"/>
  <c r="D453" i="2"/>
  <c r="D452" i="2"/>
  <c r="D451" i="2"/>
  <c r="D450" i="2"/>
  <c r="D449" i="2"/>
  <c r="D446" i="2"/>
  <c r="D445" i="2"/>
  <c r="D444" i="2"/>
  <c r="D443" i="2"/>
  <c r="D442" i="2"/>
  <c r="D441" i="2"/>
  <c r="D440" i="2"/>
  <c r="D439" i="2"/>
  <c r="D438" i="2"/>
  <c r="D437" i="2"/>
  <c r="D435" i="2"/>
  <c r="D434" i="2"/>
  <c r="D433" i="2"/>
  <c r="D432" i="2"/>
  <c r="D431" i="2"/>
  <c r="D430" i="2"/>
  <c r="D429" i="2"/>
  <c r="D428" i="2"/>
  <c r="D427" i="2"/>
  <c r="D426" i="2"/>
  <c r="D425" i="2"/>
  <c r="D424" i="2"/>
  <c r="D423" i="2"/>
  <c r="D422" i="2"/>
  <c r="D421" i="2"/>
  <c r="D420" i="2"/>
  <c r="D419" i="2"/>
  <c r="D418" i="2"/>
  <c r="D417" i="2"/>
  <c r="D416" i="2"/>
  <c r="D414" i="2"/>
  <c r="D413" i="2"/>
  <c r="D412" i="2"/>
  <c r="D411" i="2"/>
  <c r="D410" i="2"/>
  <c r="D409" i="2"/>
  <c r="D408" i="2"/>
  <c r="D407" i="2"/>
  <c r="D406" i="2"/>
  <c r="D405" i="2"/>
  <c r="D404" i="2"/>
  <c r="D403" i="2"/>
  <c r="D402" i="2" l="1"/>
  <c r="D401" i="2"/>
  <c r="D400" i="2"/>
  <c r="D399" i="2"/>
  <c r="D392" i="2"/>
  <c r="D391" i="2"/>
  <c r="D389" i="2"/>
  <c r="D388" i="2"/>
  <c r="D387" i="2"/>
  <c r="D386" i="2"/>
  <c r="D385" i="2"/>
  <c r="D384" i="2"/>
  <c r="D382" i="2"/>
  <c r="D381" i="2"/>
  <c r="D380" i="2"/>
  <c r="D379" i="2"/>
  <c r="D378" i="2"/>
  <c r="D375" i="2"/>
  <c r="D374" i="2"/>
  <c r="D373" i="2"/>
  <c r="D372" i="2"/>
  <c r="D371" i="2"/>
  <c r="D369" i="2"/>
  <c r="D368" i="2"/>
  <c r="D367" i="2"/>
  <c r="D366" i="2"/>
  <c r="D365" i="2"/>
  <c r="D364" i="2"/>
  <c r="D363" i="2"/>
  <c r="D362" i="2"/>
  <c r="D360" i="2"/>
  <c r="D359" i="2"/>
  <c r="D358" i="2"/>
  <c r="D357" i="2"/>
  <c r="D356" i="2"/>
  <c r="D355" i="2"/>
  <c r="D354" i="2"/>
  <c r="D352" i="2"/>
  <c r="D351" i="2"/>
  <c r="D350" i="2"/>
  <c r="D349" i="2"/>
  <c r="D348" i="2"/>
  <c r="D347" i="2"/>
  <c r="D346" i="2"/>
  <c r="D345" i="2"/>
  <c r="D344" i="2"/>
  <c r="D343" i="2"/>
  <c r="D342" i="2"/>
  <c r="D341" i="2"/>
  <c r="D338" i="2"/>
  <c r="D337" i="2"/>
  <c r="D336" i="2"/>
  <c r="D335" i="2"/>
  <c r="D334" i="2"/>
  <c r="D333" i="2"/>
  <c r="D332" i="2"/>
  <c r="D331" i="2"/>
  <c r="D330" i="2"/>
  <c r="D329" i="2"/>
  <c r="D327" i="2"/>
  <c r="D326" i="2"/>
  <c r="D325" i="2"/>
  <c r="D324" i="2"/>
  <c r="D319" i="2"/>
  <c r="D318" i="2"/>
  <c r="D317" i="2"/>
  <c r="D316" i="2"/>
  <c r="D315" i="2"/>
  <c r="D314" i="2"/>
  <c r="D313" i="2"/>
  <c r="D312" i="2"/>
  <c r="D311" i="2"/>
  <c r="D310" i="2"/>
  <c r="D309" i="2"/>
  <c r="D308" i="2"/>
  <c r="D307" i="2"/>
  <c r="D306" i="2"/>
  <c r="D304" i="2"/>
  <c r="D303" i="2"/>
  <c r="D302" i="2" l="1"/>
  <c r="D301" i="2"/>
  <c r="D300" i="2"/>
  <c r="D299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G24" i="2"/>
  <c r="G25" i="2" s="1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G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G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G247" i="2"/>
  <c r="D248" i="2"/>
  <c r="D249" i="2"/>
  <c r="D250" i="2"/>
  <c r="D251" i="2"/>
  <c r="D252" i="2"/>
  <c r="D253" i="2"/>
  <c r="G253" i="2"/>
  <c r="G254" i="2" s="1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F266" i="2"/>
  <c r="D267" i="2"/>
  <c r="D268" i="2"/>
  <c r="D269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90" i="2"/>
  <c r="D291" i="2"/>
  <c r="D292" i="2"/>
  <c r="D293" i="2"/>
  <c r="D295" i="2"/>
  <c r="D296" i="2"/>
  <c r="D297" i="2"/>
  <c r="D298" i="2"/>
  <c r="D28" i="24" l="1"/>
  <c r="C28" i="24"/>
  <c r="E8" i="9" l="1"/>
  <c r="E7" i="9"/>
  <c r="E6" i="9"/>
  <c r="E5" i="9"/>
  <c r="E4" i="9"/>
  <c r="E3" i="9"/>
  <c r="D10" i="8"/>
  <c r="E10" i="8" s="1"/>
  <c r="E13" i="8" s="1"/>
  <c r="J28" i="8"/>
  <c r="L28" i="8" s="1"/>
  <c r="M28" i="8" s="1"/>
  <c r="I21" i="8"/>
  <c r="K21" i="8" s="1"/>
  <c r="D21" i="8"/>
  <c r="D20" i="8"/>
  <c r="D19" i="8"/>
  <c r="E9" i="9" l="1"/>
  <c r="L6" i="8" l="1"/>
  <c r="M6" i="8" s="1"/>
  <c r="L12" i="8" s="1"/>
  <c r="J3" i="8"/>
  <c r="K3" i="8" l="1"/>
  <c r="K4" i="8" s="1"/>
  <c r="K6" i="8" s="1"/>
  <c r="J4" i="8"/>
  <c r="J6" i="8" s="1"/>
  <c r="N6" i="7"/>
  <c r="N5" i="7"/>
  <c r="N4" i="7"/>
  <c r="O10" i="7"/>
  <c r="F9" i="7"/>
  <c r="F10" i="7" s="1"/>
  <c r="N3" i="7" l="1"/>
</calcChain>
</file>

<file path=xl/sharedStrings.xml><?xml version="1.0" encoding="utf-8"?>
<sst xmlns="http://schemas.openxmlformats.org/spreadsheetml/2006/main" count="1671" uniqueCount="313">
  <si>
    <t>1000 Equity Accounts</t>
  </si>
  <si>
    <t>Ordinary Share Capital</t>
  </si>
  <si>
    <t>Preference Share Capital</t>
  </si>
  <si>
    <t>Donor Grants &amp; Contributions</t>
  </si>
  <si>
    <t>Revaluation Reserves</t>
  </si>
  <si>
    <t>Retained Earnings</t>
  </si>
  <si>
    <t>Current Year Surplus/(Deficit)</t>
  </si>
  <si>
    <t>2000 Long-Term Liabilities</t>
  </si>
  <si>
    <t>Long-Term Borrowings</t>
  </si>
  <si>
    <t>Lease Liabilities</t>
  </si>
  <si>
    <t>3000 Current Assets</t>
  </si>
  <si>
    <t>Cash on Hand</t>
  </si>
  <si>
    <t>Bank Accounts</t>
  </si>
  <si>
    <t>Accounts Receivable – Interest and Fees</t>
  </si>
  <si>
    <t>Prepaid Expenses</t>
  </si>
  <si>
    <t>3100 Loan Portfolio Assets</t>
  </si>
  <si>
    <t>Performing Loans</t>
  </si>
  <si>
    <t>Non-Performing Loans</t>
  </si>
  <si>
    <t>Provision for Loan Losses (Contra-Asset</t>
  </si>
  <si>
    <t>3200 Non-Current Assets</t>
  </si>
  <si>
    <t>Property, Plant &amp; Equipment (PPE)</t>
  </si>
  <si>
    <t>Accumulated Depreciation (Contra-Asset)</t>
  </si>
  <si>
    <t>Intangible Assets</t>
  </si>
  <si>
    <t>Other Long-Term Investments</t>
  </si>
  <si>
    <t>4000 Loans and Advances</t>
  </si>
  <si>
    <t>Microloans to Clients</t>
  </si>
  <si>
    <t>SME Loans</t>
  </si>
  <si>
    <t>Loan Guarantees Issued (Off-Balance Sheet)</t>
  </si>
  <si>
    <t>5000 Loan Loss Provisions</t>
  </si>
  <si>
    <t>General Loan Loss Provision</t>
  </si>
  <si>
    <t>Specific Loan Loss Provision</t>
  </si>
  <si>
    <t>5100 Loan Write-offs</t>
  </si>
  <si>
    <t>Principal Write-offs</t>
  </si>
  <si>
    <t>Interest Write-offs</t>
  </si>
  <si>
    <t>5200 Exceptional Items</t>
  </si>
  <si>
    <t>6000 Financial Expenses</t>
  </si>
  <si>
    <t>Interest on Borrowings</t>
  </si>
  <si>
    <t>6100 Personnel Costs</t>
  </si>
  <si>
    <t>Salaries &amp; Wages</t>
  </si>
  <si>
    <t>Staff Benefits &amp; Welfare</t>
  </si>
  <si>
    <t>6200 Administrative Expenses</t>
  </si>
  <si>
    <t>Foreign Exchange Losses</t>
  </si>
  <si>
    <t>Extraordinary Adjustments</t>
  </si>
  <si>
    <t>IT &amp; Software Expenses</t>
  </si>
  <si>
    <t>Depreciation &amp; Amortization</t>
  </si>
  <si>
    <t>Legal &amp; Professional Fees</t>
  </si>
  <si>
    <t>Travel &amp; Transport</t>
  </si>
  <si>
    <t>Communication Expenses</t>
  </si>
  <si>
    <t>Miscellaneous Expenses</t>
  </si>
  <si>
    <t>7000 Operating Income</t>
  </si>
  <si>
    <t>Interest Income on Loans</t>
  </si>
  <si>
    <t>Fees &amp; Commission Income</t>
  </si>
  <si>
    <t>Penalty &amp; Late Payment Charges</t>
  </si>
  <si>
    <t>7100 Non-Operating Income</t>
  </si>
  <si>
    <t>Investment Income</t>
  </si>
  <si>
    <t>Other Miscellaneous Income</t>
  </si>
  <si>
    <t xml:space="preserve">Class </t>
  </si>
  <si>
    <t>Account Code</t>
  </si>
  <si>
    <t>Details</t>
  </si>
  <si>
    <t>Shareholders’ Loan – Long Term</t>
  </si>
  <si>
    <t>Date</t>
  </si>
  <si>
    <t>Month</t>
  </si>
  <si>
    <t>Account code</t>
  </si>
  <si>
    <t xml:space="preserve">Account name </t>
  </si>
  <si>
    <t>Debit</t>
  </si>
  <si>
    <t>Credit</t>
  </si>
  <si>
    <t>Narration (Reason)</t>
  </si>
  <si>
    <t xml:space="preserve">Bank charges </t>
  </si>
  <si>
    <t>Loan issued</t>
  </si>
  <si>
    <t>2500 Current Liabilities</t>
  </si>
  <si>
    <t>Trade Payables</t>
  </si>
  <si>
    <t>PAYE Payables</t>
  </si>
  <si>
    <t>Withholding Tax (WHT) Payables</t>
  </si>
  <si>
    <t>Social Security Payables</t>
  </si>
  <si>
    <t>Accrued Expenses</t>
  </si>
  <si>
    <t>Other Statutory Payables</t>
  </si>
  <si>
    <t>Unearned Income/Deferred Revenue</t>
  </si>
  <si>
    <t>Other payables</t>
  </si>
  <si>
    <t>Assets</t>
  </si>
  <si>
    <t>Capital</t>
  </si>
  <si>
    <t>Liabilities</t>
  </si>
  <si>
    <t>Bank</t>
  </si>
  <si>
    <t>Prepaid rent</t>
  </si>
  <si>
    <t>Caution</t>
  </si>
  <si>
    <t>Computers &amp; Equipments</t>
  </si>
  <si>
    <t>Furnitures</t>
  </si>
  <si>
    <t>Total assets</t>
  </si>
  <si>
    <t>Share capital</t>
  </si>
  <si>
    <t>RDB</t>
  </si>
  <si>
    <t>Shareholders loan</t>
  </si>
  <si>
    <t>Dr</t>
  </si>
  <si>
    <t>Cr</t>
  </si>
  <si>
    <t>Shareholders's loan</t>
  </si>
  <si>
    <t>PP&amp;E</t>
  </si>
  <si>
    <t>Bank accounts</t>
  </si>
  <si>
    <t>Loan issued to Desire Demino</t>
  </si>
  <si>
    <t>Other receivables</t>
  </si>
  <si>
    <t>Maternity contribution Payables</t>
  </si>
  <si>
    <t>Pension and Risk Contribution Payables</t>
  </si>
  <si>
    <t>CBHI Payables</t>
  </si>
  <si>
    <t>Salary payables</t>
  </si>
  <si>
    <t>Utilities</t>
  </si>
  <si>
    <t>Office rent</t>
  </si>
  <si>
    <t>Consumed rent from prepayment</t>
  </si>
  <si>
    <t>VAT Control Account</t>
  </si>
  <si>
    <t>VAT</t>
  </si>
  <si>
    <t>Rent</t>
  </si>
  <si>
    <t>VAT Control account</t>
  </si>
  <si>
    <t>Prepaid expense</t>
  </si>
  <si>
    <t>Cash withdrawal by KUBWIMANA Devotha</t>
  </si>
  <si>
    <t>Loan issued to BIZIMANA Andre</t>
  </si>
  <si>
    <t xml:space="preserve">Account maintenance fees </t>
  </si>
  <si>
    <t xml:space="preserve">Cash withdrawal charges </t>
  </si>
  <si>
    <t xml:space="preserve">Cash withdrawal </t>
  </si>
  <si>
    <t xml:space="preserve">RRA Payment charges  </t>
  </si>
  <si>
    <t>Internal transfer charges</t>
  </si>
  <si>
    <t>Loan amount</t>
  </si>
  <si>
    <t>Payment Date</t>
  </si>
  <si>
    <t>Interest Due</t>
  </si>
  <si>
    <t xml:space="preserve">Comment </t>
  </si>
  <si>
    <t>Emmanuel HABIMANA</t>
  </si>
  <si>
    <t>Accrued interest for 2 months</t>
  </si>
  <si>
    <t>Andre BIZIMANA</t>
  </si>
  <si>
    <t>Accrued interest for 1 month (December)</t>
  </si>
  <si>
    <t>NDAYAMBAJE Edouard</t>
  </si>
  <si>
    <t>BIGIRIMANA Desire</t>
  </si>
  <si>
    <t>Accrued interest for 3 months (From october to December)</t>
  </si>
  <si>
    <t>Gilbert KAMI</t>
  </si>
  <si>
    <t>Providence MUHORAKEYE</t>
  </si>
  <si>
    <t>Names</t>
  </si>
  <si>
    <t>Total</t>
  </si>
  <si>
    <t>Loan repayment by Habimana Emmanuel on 03/01/2026</t>
  </si>
  <si>
    <t xml:space="preserve">Cheque issued to Airtel </t>
  </si>
  <si>
    <t xml:space="preserve">Loan repayment made by HABIMANA Emmanuel </t>
  </si>
  <si>
    <t xml:space="preserve">Loan repayment made by NTABANGANYIMANA Fabien </t>
  </si>
  <si>
    <t xml:space="preserve">Loan repayment made by  HABIMANA Emmanuel </t>
  </si>
  <si>
    <t>Loan issued to Misa Simon</t>
  </si>
  <si>
    <t>Pension Payment for december 2025</t>
  </si>
  <si>
    <t>PAYE Payment for december 2025</t>
  </si>
  <si>
    <t>CBHI Payment for december 2025</t>
  </si>
  <si>
    <t>Maternity contribution payment for december 2025</t>
  </si>
  <si>
    <t>Payment of quarterly VAT from September to december</t>
  </si>
  <si>
    <t>Prepaid rent for february 2025</t>
  </si>
  <si>
    <t>Rent expense for january 2025</t>
  </si>
  <si>
    <t>Recognition of rent payment made for jan &amp; feb</t>
  </si>
  <si>
    <t>Loan repayment made by  BIZIMANA Andre</t>
  </si>
  <si>
    <t>Loan repayment made by KAMI Girbert</t>
  </si>
  <si>
    <t>Loan repayment by NDAYAMBAJE Eduard on 26/01/2026</t>
  </si>
  <si>
    <t>Loan repayment by MUHORAKEYE Providence on 27/01/2026</t>
  </si>
  <si>
    <t>Loan repayment made by NDAYAMBAJE Eduard</t>
  </si>
  <si>
    <t>Salary and wages for  january 2026</t>
  </si>
  <si>
    <t>Payment of Salary and wages for january 2026</t>
  </si>
  <si>
    <t>Cheque payment charges for 19/01/2026</t>
  </si>
  <si>
    <t>Loan repayment by francine  on 02/02/2026</t>
  </si>
  <si>
    <t>Loan issued to KABUSINGE Marie</t>
  </si>
  <si>
    <t>CBHI Payment for January  2026</t>
  </si>
  <si>
    <t>PAYE Payment for January 2026</t>
  </si>
  <si>
    <t>Maternity contribution payment for January  2026</t>
  </si>
  <si>
    <t>Pension Payment for January 2026</t>
  </si>
  <si>
    <t>Loan issued to Jean claude</t>
  </si>
  <si>
    <t>Loan issued to BAHATI Eric</t>
  </si>
  <si>
    <t>Loan issued to Nzungize Emmanuel</t>
  </si>
  <si>
    <t>Loan repayment by Abayisenga claude on 19/02/2026</t>
  </si>
  <si>
    <t>Salary and wages for February 2026</t>
  </si>
  <si>
    <t>Salary and wages for February  2026</t>
  </si>
  <si>
    <t>Salary and wages for february 2026</t>
  </si>
  <si>
    <t>Payment of Salary and wages for february 2026</t>
  </si>
  <si>
    <t>Loan repayment made by  MUHORAKEYE Providence</t>
  </si>
  <si>
    <t>Loan repayment made by  francine</t>
  </si>
  <si>
    <t>Pension Payment for February  2026</t>
  </si>
  <si>
    <t>Maternity contribution payment for february   2026</t>
  </si>
  <si>
    <t>CBHI Payment for february  2026</t>
  </si>
  <si>
    <t>PAYE Payment for february  2026</t>
  </si>
  <si>
    <t>Cheque payment charges for 05/03/2026</t>
  </si>
  <si>
    <t>Prepaid rent for april  2025</t>
  </si>
  <si>
    <t>Rent expense for march 2025</t>
  </si>
  <si>
    <t>Recognition of rent payment made for march &amp; aprl</t>
  </si>
  <si>
    <t>Cash withdrawal by  kubwimana devota</t>
  </si>
  <si>
    <t>Loan issued to STELLA</t>
  </si>
  <si>
    <t>Loan repayment by nzungize emmanuel on 13/03/2026</t>
  </si>
  <si>
    <t>Loan repayment- Bizimana andre</t>
  </si>
  <si>
    <t>Payment of Salary and wages for march 2026</t>
  </si>
  <si>
    <t>Loan repayment- simon missa</t>
  </si>
  <si>
    <t xml:space="preserve">Loan issued to indere serge </t>
  </si>
  <si>
    <t>Loan repayment by Marie kobusinge on 30/03/2026</t>
  </si>
  <si>
    <t>Loan repayment by Bigirimana desire on 31/03/2026</t>
  </si>
  <si>
    <t>Loan issued to Ndayambaje eduard</t>
  </si>
  <si>
    <t>Loan issued to ARMAND</t>
  </si>
  <si>
    <t>Income tax expense</t>
  </si>
  <si>
    <t>Tax payable</t>
  </si>
  <si>
    <t>Corporate Income tax</t>
  </si>
  <si>
    <t>2 and 3</t>
  </si>
  <si>
    <t>Remain 600 RWF</t>
  </si>
  <si>
    <t>Interest accrual  of March 2026 Interest for Providence MUHORAKEYE</t>
  </si>
  <si>
    <t>Salary and wages for March 2026</t>
  </si>
  <si>
    <t>Row Labels</t>
  </si>
  <si>
    <t>Grand Total</t>
  </si>
  <si>
    <t>Sum of Debit</t>
  </si>
  <si>
    <t>Sum of Credit</t>
  </si>
  <si>
    <t>Expenses paid by cash</t>
  </si>
  <si>
    <t>Adjustment of loan balance</t>
  </si>
  <si>
    <t>Loan issued to claude</t>
  </si>
  <si>
    <t>PAYE Payment for march  2026</t>
  </si>
  <si>
    <t>Pension Payment for march 2026</t>
  </si>
  <si>
    <t>Maternity contribution payment for march   2026</t>
  </si>
  <si>
    <t>CBHI Payment for march 2026</t>
  </si>
  <si>
    <t>Loan issued to felix</t>
  </si>
  <si>
    <t>Loan issued to emmanuel</t>
  </si>
  <si>
    <t>Loan repayment by armand on 08/04/2026</t>
  </si>
  <si>
    <t>Loan repayment made by armand on 09/04/2026</t>
  </si>
  <si>
    <t>Loan repayment made by armand on 09/04/2027</t>
  </si>
  <si>
    <t>Loan issued to andre</t>
  </si>
  <si>
    <t>bk cheque charges</t>
  </si>
  <si>
    <t>Loan issued to ujeneza</t>
  </si>
  <si>
    <t>13-Apr-26</t>
  </si>
  <si>
    <t>April-26</t>
  </si>
  <si>
    <t>Loan repayment made by emmanuel</t>
  </si>
  <si>
    <t>Loan issued to clementine</t>
  </si>
  <si>
    <t>Payment of quarterly VAT from january to april</t>
  </si>
  <si>
    <t>Loan issued  niwagaba james</t>
  </si>
  <si>
    <t>Loan repayment by indere on 20/04/2026</t>
  </si>
  <si>
    <t>Loan issued to brigitte</t>
  </si>
  <si>
    <t>Loan repayment made by kami</t>
  </si>
  <si>
    <t xml:space="preserve">Cheque payment charges </t>
  </si>
  <si>
    <t>Loan issued  fabien</t>
  </si>
  <si>
    <t>Loan repayment made by providence</t>
  </si>
  <si>
    <t>Loan repayment by clementine</t>
  </si>
  <si>
    <t>Loan issued to marie</t>
  </si>
  <si>
    <t>Payment of Salary and wages for april2026</t>
  </si>
  <si>
    <t>Payment of Salary and wages for april 2026</t>
  </si>
  <si>
    <t>Prepaid rent for june  2026</t>
  </si>
  <si>
    <t>Rent expense for may 2026</t>
  </si>
  <si>
    <t>Recognition of rent payment made for may &amp; june</t>
  </si>
  <si>
    <t>Loan issued to Alice</t>
  </si>
  <si>
    <t>Maternity contribution payment for may   2026</t>
  </si>
  <si>
    <t>Pension Payment for may 2026</t>
  </si>
  <si>
    <t>CBHI Payment for may 2026</t>
  </si>
  <si>
    <t>PAYE Payment for may 2026</t>
  </si>
  <si>
    <t>Cash withdrawal Kubwimana Devotha</t>
  </si>
  <si>
    <t>Loan issued to Kami</t>
  </si>
  <si>
    <t>Loan repayment- edouard ndayambaje</t>
  </si>
  <si>
    <t>Loan repayment by Deborah on 18/05/2026</t>
  </si>
  <si>
    <t>Loan repayment by Deborah on 18/05/2027</t>
  </si>
  <si>
    <t>Loan repayment by Deborah on 18/05/2028</t>
  </si>
  <si>
    <t>Loan repayment by Deborah on 18/05/2029</t>
  </si>
  <si>
    <t xml:space="preserve">Loan repayment by alice </t>
  </si>
  <si>
    <t>Loan repayment by james</t>
  </si>
  <si>
    <t>Loan repayment made by indere</t>
  </si>
  <si>
    <t>Salary and wages for may 2026</t>
  </si>
  <si>
    <t>loan repayment by brigitte</t>
  </si>
  <si>
    <t>Loan repayment by fabien on 28/05/2026</t>
  </si>
  <si>
    <t>Loan repayment by fabien on 28/05/2027</t>
  </si>
  <si>
    <t>Loan repayment by fabien on 28/05/2028</t>
  </si>
  <si>
    <t>Loan repayment by stella</t>
  </si>
  <si>
    <t>Loan issued to Aline</t>
  </si>
  <si>
    <t>Loan issued to stella</t>
  </si>
  <si>
    <t>Maternity contribution payment for june   2026</t>
  </si>
  <si>
    <t>PAYE Payment for june 2026</t>
  </si>
  <si>
    <t>Pension Payment for june 2026</t>
  </si>
  <si>
    <t>CBHI Payment for june 2026</t>
  </si>
  <si>
    <t>Loan issued to Donald</t>
  </si>
  <si>
    <t>Loan repayment made by james</t>
  </si>
  <si>
    <t xml:space="preserve">Loan repayment by bizimana andre </t>
  </si>
  <si>
    <t>Loan repayment made by  brigitte</t>
  </si>
  <si>
    <t>Loan repayment by kami</t>
  </si>
  <si>
    <t>Loan repayment made by  alice</t>
  </si>
  <si>
    <t xml:space="preserve">Loan repayment made by  fabien </t>
  </si>
  <si>
    <t>Loan repayment by aline</t>
  </si>
  <si>
    <t>Payment of Salary and wages for june2026</t>
  </si>
  <si>
    <t>Salary and wages for April 2026</t>
  </si>
  <si>
    <t>Payment of salary</t>
  </si>
  <si>
    <t xml:space="preserve">Payment of 1st quarterly advance CIT from january to april </t>
  </si>
  <si>
    <t>Salary and wages for June 2026</t>
  </si>
  <si>
    <t>Accrued interest for 1 month</t>
  </si>
  <si>
    <t>QUARTER 2</t>
  </si>
  <si>
    <t>Claude Abayisenga</t>
  </si>
  <si>
    <t>MUHORAKEYE Providence</t>
  </si>
  <si>
    <t>Accrued interest for 3 months from April to June 2026</t>
  </si>
  <si>
    <t>Desire Demino</t>
  </si>
  <si>
    <t>Accrued interest for 4 months from February to June 2026</t>
  </si>
  <si>
    <t>Emmanual NZUNGIZE</t>
  </si>
  <si>
    <t xml:space="preserve">Accrued interest for 1 month </t>
  </si>
  <si>
    <t xml:space="preserve">Donald </t>
  </si>
  <si>
    <t>Andre</t>
  </si>
  <si>
    <t>Felix NIYIBIZI</t>
  </si>
  <si>
    <t>Accrued interest from April to June</t>
  </si>
  <si>
    <t>Marie KOBUSINGYE</t>
  </si>
  <si>
    <t xml:space="preserve">Accrued interest for 2 months </t>
  </si>
  <si>
    <t xml:space="preserve">Alice </t>
  </si>
  <si>
    <t>Aline</t>
  </si>
  <si>
    <t>Accrued underpayment of interest</t>
  </si>
  <si>
    <t>KAMI Gilbert</t>
  </si>
  <si>
    <t>Stella</t>
  </si>
  <si>
    <t>Accrual of the interests up to 30.06.2026</t>
  </si>
  <si>
    <t>Diff</t>
  </si>
  <si>
    <t>Expenses paid by cash from April to June 2026</t>
  </si>
  <si>
    <t>Accrual of the rent for May and June 2026</t>
  </si>
  <si>
    <t>Details for Sum of Debit - Account name : Loan issued</t>
  </si>
  <si>
    <t>ABAYISENGA Jean Claude</t>
  </si>
  <si>
    <t>Column1</t>
  </si>
  <si>
    <t>NTABANGANYIMANA Fabien</t>
  </si>
  <si>
    <t>NZUNGIZE Emmanuel</t>
  </si>
  <si>
    <t>NIYIBIZI Felix</t>
  </si>
  <si>
    <t>KOBUSINGYE Marie</t>
  </si>
  <si>
    <t>BIZIMANA Andre</t>
  </si>
  <si>
    <t>NIWAGABA James</t>
  </si>
  <si>
    <t>UJENEZA Deborah</t>
  </si>
  <si>
    <t>Stella MATUTINA</t>
  </si>
  <si>
    <t>Aline UWAMAHORO</t>
  </si>
  <si>
    <t>MUKAMIJE Clementine</t>
  </si>
  <si>
    <t>UMURORE Brigitte</t>
  </si>
  <si>
    <t xml:space="preserve">NASABWE Alice </t>
  </si>
  <si>
    <t xml:space="preserve">NDAMKOU NGUEGA MCHIRI DONALD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</si>
</sst>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3" formatCode="_(* #,##0.00_);_(* \(#,##0.00\);_(* &quot;-&quot;??_);_(@_)"/>
    <numFmt numFmtId="164" formatCode="[$-409]mmmm\-yy;@"/>
    <numFmt numFmtId="165" formatCode="[$-409]d\-mmm\-yy;@"/>
    <numFmt numFmtId="166" formatCode="_(* #,##0_);_(* \(#,##0\);_(* &quot;-&quot;??_);_(@_)"/>
  </numFmts>
  <fonts count="14">
    <font>
      <sz val="11"/>
      <color theme="1"/>
      <name val="Sue Davis"/>
      <family val="2"/>
    </font>
    <font>
      <b/>
      <sz val="10"/>
      <color theme="1"/>
      <name val="Century Gothic"/>
      <family val="2"/>
    </font>
    <font>
      <sz val="10"/>
      <color theme="1"/>
      <name val="Century Gothic"/>
      <family val="2"/>
    </font>
    <font>
      <sz val="11"/>
      <color theme="1"/>
      <name val="Sue Davis"/>
      <family val="2"/>
    </font>
    <font>
      <b/>
      <sz val="11"/>
      <color theme="1"/>
      <name val="Sue Davis"/>
    </font>
    <font>
      <sz val="11"/>
      <color rgb="FFFF0000"/>
      <name val="Sue Davis"/>
      <family val="2"/>
    </font>
    <font>
      <sz val="10"/>
      <color rgb="FF00B050"/>
      <name val="Century Gothic"/>
      <family val="2"/>
    </font>
    <font>
      <sz val="11"/>
      <color rgb="FF00B050"/>
      <name val="Sue Davis"/>
      <family val="2"/>
    </font>
    <font>
      <b/>
      <sz val="11"/>
      <color theme="1"/>
      <name val="Sue Davis"/>
      <family val="2"/>
    </font>
    <font>
      <sz val="10"/>
      <color rgb="FFFF0000"/>
      <name val="Century Gothic"/>
      <family val="2"/>
    </font>
    <font>
      <sz val="10"/>
      <name val="Century Gothic"/>
      <family val="2"/>
    </font>
    <font>
      <b/>
      <sz val="10"/>
      <name val="Century Gothic"/>
      <family val="2"/>
    </font>
    <font>
      <b/>
      <sz val="11"/>
      <color theme="0"/>
      <name val="Sue Davis"/>
      <family val="2"/>
    </font>
    <font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26">
    <border>
      <left/>
      <right/>
      <top/>
      <bottom/>
      <diagonal/>
    </border>
    <border>
      <left style="thick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ck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thick">
        <color auto="1"/>
      </top>
      <bottom style="hair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hair">
        <color auto="1"/>
      </bottom>
      <diagonal/>
    </border>
    <border>
      <left style="thick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 style="thick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thick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 style="hair">
        <color auto="1"/>
      </left>
      <right style="thin">
        <color theme="4" tint="0.39997558519241921"/>
      </right>
      <top style="hair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thick">
        <color auto="1"/>
      </right>
      <top/>
      <bottom/>
      <diagonal/>
    </border>
    <border>
      <left/>
      <right/>
      <top style="hair">
        <color auto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78">
    <xf numFmtId="0" fontId="0" fillId="0" borderId="0" xfId="0"/>
    <xf numFmtId="0" fontId="0" fillId="2" borderId="0" xfId="0" applyFill="1"/>
    <xf numFmtId="0" fontId="0" fillId="2" borderId="0" xfId="0" applyFill="1" applyAlignment="1">
      <alignment horizontal="left"/>
    </xf>
    <xf numFmtId="17" fontId="2" fillId="2" borderId="0" xfId="0" applyNumberFormat="1" applyFont="1" applyFill="1"/>
    <xf numFmtId="0" fontId="0" fillId="5" borderId="0" xfId="0" applyFill="1" applyAlignment="1">
      <alignment horizontal="left"/>
    </xf>
    <xf numFmtId="0" fontId="2" fillId="5" borderId="5" xfId="0" applyFont="1" applyFill="1" applyBorder="1"/>
    <xf numFmtId="0" fontId="1" fillId="5" borderId="1" xfId="0" applyFont="1" applyFill="1" applyBorder="1" applyAlignment="1">
      <alignment horizontal="left"/>
    </xf>
    <xf numFmtId="0" fontId="2" fillId="5" borderId="4" xfId="0" applyFont="1" applyFill="1" applyBorder="1" applyAlignment="1">
      <alignment horizontal="left" vertical="center"/>
    </xf>
    <xf numFmtId="0" fontId="1" fillId="5" borderId="3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/>
    </xf>
    <xf numFmtId="0" fontId="2" fillId="5" borderId="6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/>
    </xf>
    <xf numFmtId="0" fontId="0" fillId="4" borderId="0" xfId="0" applyFill="1" applyAlignment="1">
      <alignment horizontal="left"/>
    </xf>
    <xf numFmtId="0" fontId="1" fillId="4" borderId="2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0" fontId="2" fillId="4" borderId="8" xfId="0" applyFont="1" applyFill="1" applyBorder="1" applyAlignment="1">
      <alignment horizontal="left"/>
    </xf>
    <xf numFmtId="0" fontId="4" fillId="3" borderId="0" xfId="0" applyFont="1" applyFill="1"/>
    <xf numFmtId="0" fontId="0" fillId="3" borderId="0" xfId="0" applyFill="1"/>
    <xf numFmtId="0" fontId="4" fillId="4" borderId="0" xfId="0" applyFont="1" applyFill="1"/>
    <xf numFmtId="0" fontId="0" fillId="4" borderId="0" xfId="0" applyFill="1"/>
    <xf numFmtId="166" fontId="0" fillId="4" borderId="0" xfId="1" applyNumberFormat="1" applyFont="1" applyFill="1"/>
    <xf numFmtId="166" fontId="4" fillId="4" borderId="0" xfId="0" applyNumberFormat="1" applyFont="1" applyFill="1"/>
    <xf numFmtId="166" fontId="0" fillId="3" borderId="0" xfId="1" applyNumberFormat="1" applyFont="1" applyFill="1"/>
    <xf numFmtId="0" fontId="4" fillId="6" borderId="0" xfId="0" applyFont="1" applyFill="1"/>
    <xf numFmtId="0" fontId="0" fillId="6" borderId="0" xfId="0" applyFill="1"/>
    <xf numFmtId="166" fontId="0" fillId="6" borderId="0" xfId="0" applyNumberFormat="1" applyFill="1"/>
    <xf numFmtId="166" fontId="0" fillId="2" borderId="0" xfId="0" applyNumberFormat="1" applyFill="1"/>
    <xf numFmtId="43" fontId="0" fillId="2" borderId="0" xfId="1" applyFont="1" applyFill="1"/>
    <xf numFmtId="166" fontId="0" fillId="2" borderId="0" xfId="1" applyNumberFormat="1" applyFont="1" applyFill="1"/>
    <xf numFmtId="0" fontId="2" fillId="5" borderId="4" xfId="0" applyFont="1" applyFill="1" applyBorder="1" applyAlignment="1">
      <alignment vertical="top"/>
    </xf>
    <xf numFmtId="0" fontId="5" fillId="0" borderId="0" xfId="0" applyFont="1"/>
    <xf numFmtId="0" fontId="5" fillId="2" borderId="0" xfId="0" applyFont="1" applyFill="1"/>
    <xf numFmtId="0" fontId="6" fillId="5" borderId="5" xfId="0" applyFont="1" applyFill="1" applyBorder="1"/>
    <xf numFmtId="14" fontId="2" fillId="5" borderId="4" xfId="0" applyNumberFormat="1" applyFont="1" applyFill="1" applyBorder="1" applyAlignment="1">
      <alignment horizontal="left"/>
    </xf>
    <xf numFmtId="0" fontId="2" fillId="4" borderId="6" xfId="0" applyFont="1" applyFill="1" applyBorder="1"/>
    <xf numFmtId="0" fontId="2" fillId="5" borderId="5" xfId="0" applyFont="1" applyFill="1" applyBorder="1" applyAlignment="1">
      <alignment horizontal="left"/>
    </xf>
    <xf numFmtId="43" fontId="0" fillId="2" borderId="0" xfId="0" applyNumberFormat="1" applyFill="1"/>
    <xf numFmtId="0" fontId="2" fillId="5" borderId="12" xfId="0" applyFont="1" applyFill="1" applyBorder="1"/>
    <xf numFmtId="14" fontId="2" fillId="5" borderId="11" xfId="0" applyNumberFormat="1" applyFont="1" applyFill="1" applyBorder="1" applyAlignment="1">
      <alignment horizontal="left"/>
    </xf>
    <xf numFmtId="0" fontId="2" fillId="5" borderId="12" xfId="0" applyFont="1" applyFill="1" applyBorder="1" applyAlignment="1">
      <alignment horizontal="left"/>
    </xf>
    <xf numFmtId="0" fontId="2" fillId="4" borderId="13" xfId="0" applyFont="1" applyFill="1" applyBorder="1"/>
    <xf numFmtId="0" fontId="6" fillId="5" borderId="5" xfId="0" applyFont="1" applyFill="1" applyBorder="1" applyAlignment="1">
      <alignment horizontal="left"/>
    </xf>
    <xf numFmtId="0" fontId="7" fillId="2" borderId="0" xfId="0" applyFont="1" applyFill="1"/>
    <xf numFmtId="0" fontId="6" fillId="5" borderId="10" xfId="0" applyFont="1" applyFill="1" applyBorder="1"/>
    <xf numFmtId="0" fontId="6" fillId="5" borderId="10" xfId="0" applyFont="1" applyFill="1" applyBorder="1" applyAlignment="1">
      <alignment horizontal="left"/>
    </xf>
    <xf numFmtId="43" fontId="0" fillId="0" borderId="0" xfId="1" applyFont="1"/>
    <xf numFmtId="166" fontId="7" fillId="0" borderId="0" xfId="1" applyNumberFormat="1" applyFont="1"/>
    <xf numFmtId="166" fontId="5" fillId="0" borderId="0" xfId="1" applyNumberFormat="1" applyFont="1"/>
    <xf numFmtId="43" fontId="0" fillId="0" borderId="0" xfId="0" applyNumberFormat="1"/>
    <xf numFmtId="0" fontId="6" fillId="5" borderId="10" xfId="0" applyFont="1" applyFill="1" applyBorder="1" applyAlignment="1">
      <alignment horizontal="center"/>
    </xf>
    <xf numFmtId="166" fontId="6" fillId="5" borderId="5" xfId="1" applyNumberFormat="1" applyFont="1" applyFill="1" applyBorder="1" applyAlignment="1">
      <alignment horizontal="center"/>
    </xf>
    <xf numFmtId="166" fontId="0" fillId="0" borderId="0" xfId="1" applyNumberFormat="1" applyFont="1"/>
    <xf numFmtId="0" fontId="6" fillId="5" borderId="6" xfId="0" applyFont="1" applyFill="1" applyBorder="1"/>
    <xf numFmtId="166" fontId="2" fillId="5" borderId="6" xfId="1" applyNumberFormat="1" applyFont="1" applyFill="1" applyBorder="1"/>
    <xf numFmtId="166" fontId="6" fillId="5" borderId="14" xfId="1" applyNumberFormat="1" applyFont="1" applyFill="1" applyBorder="1"/>
    <xf numFmtId="43" fontId="5" fillId="0" borderId="0" xfId="1" applyFont="1"/>
    <xf numFmtId="166" fontId="0" fillId="0" borderId="0" xfId="0" applyNumberFormat="1"/>
    <xf numFmtId="0" fontId="6" fillId="0" borderId="0" xfId="0" applyFont="1"/>
    <xf numFmtId="0" fontId="2" fillId="5" borderId="12" xfId="0" applyFont="1" applyFill="1" applyBorder="1" applyAlignment="1">
      <alignment horizontal="center"/>
    </xf>
    <xf numFmtId="0" fontId="2" fillId="5" borderId="5" xfId="0" applyFont="1" applyFill="1" applyBorder="1" applyAlignment="1">
      <alignment horizontal="center"/>
    </xf>
    <xf numFmtId="166" fontId="2" fillId="5" borderId="10" xfId="1" applyNumberFormat="1" applyFont="1" applyFill="1" applyBorder="1" applyAlignment="1">
      <alignment horizontal="center"/>
    </xf>
    <xf numFmtId="0" fontId="1" fillId="2" borderId="7" xfId="0" applyFont="1" applyFill="1" applyBorder="1"/>
    <xf numFmtId="0" fontId="8" fillId="2" borderId="8" xfId="0" applyFont="1" applyFill="1" applyBorder="1"/>
    <xf numFmtId="166" fontId="1" fillId="2" borderId="8" xfId="1" applyNumberFormat="1" applyFont="1" applyFill="1" applyBorder="1"/>
    <xf numFmtId="0" fontId="0" fillId="2" borderId="9" xfId="0" applyFill="1" applyBorder="1"/>
    <xf numFmtId="0" fontId="1" fillId="3" borderId="1" xfId="0" applyFont="1" applyFill="1" applyBorder="1"/>
    <xf numFmtId="0" fontId="1" fillId="3" borderId="2" xfId="0" applyFont="1" applyFill="1" applyBorder="1"/>
    <xf numFmtId="0" fontId="1" fillId="3" borderId="3" xfId="0" applyFont="1" applyFill="1" applyBorder="1"/>
    <xf numFmtId="166" fontId="2" fillId="4" borderId="14" xfId="1" applyNumberFormat="1" applyFont="1" applyFill="1" applyBorder="1"/>
    <xf numFmtId="166" fontId="5" fillId="2" borderId="0" xfId="0" applyNumberFormat="1" applyFont="1" applyFill="1"/>
    <xf numFmtId="0" fontId="9" fillId="2" borderId="4" xfId="0" applyFont="1" applyFill="1" applyBorder="1"/>
    <xf numFmtId="166" fontId="9" fillId="2" borderId="5" xfId="1" applyNumberFormat="1" applyFont="1" applyFill="1" applyBorder="1"/>
    <xf numFmtId="15" fontId="9" fillId="2" borderId="5" xfId="0" applyNumberFormat="1" applyFont="1" applyFill="1" applyBorder="1"/>
    <xf numFmtId="166" fontId="9" fillId="2" borderId="5" xfId="0" applyNumberFormat="1" applyFont="1" applyFill="1" applyBorder="1"/>
    <xf numFmtId="0" fontId="9" fillId="2" borderId="6" xfId="0" applyFont="1" applyFill="1" applyBorder="1"/>
    <xf numFmtId="0" fontId="2" fillId="0" borderId="0" xfId="0" applyFont="1"/>
    <xf numFmtId="0" fontId="1" fillId="0" borderId="0" xfId="0" applyFont="1"/>
    <xf numFmtId="166" fontId="1" fillId="0" borderId="0" xfId="1" applyNumberFormat="1" applyFont="1"/>
    <xf numFmtId="166" fontId="2" fillId="0" borderId="0" xfId="1" applyNumberFormat="1" applyFont="1" applyAlignment="1"/>
    <xf numFmtId="166" fontId="1" fillId="0" borderId="0" xfId="1" applyNumberFormat="1" applyFont="1" applyAlignment="1"/>
    <xf numFmtId="166" fontId="9" fillId="4" borderId="14" xfId="1" applyNumberFormat="1" applyFont="1" applyFill="1" applyBorder="1"/>
    <xf numFmtId="0" fontId="2" fillId="2" borderId="4" xfId="0" applyFont="1" applyFill="1" applyBorder="1"/>
    <xf numFmtId="166" fontId="2" fillId="2" borderId="5" xfId="1" applyNumberFormat="1" applyFont="1" applyFill="1" applyBorder="1"/>
    <xf numFmtId="15" fontId="2" fillId="2" borderId="5" xfId="0" applyNumberFormat="1" applyFont="1" applyFill="1" applyBorder="1"/>
    <xf numFmtId="166" fontId="2" fillId="2" borderId="5" xfId="0" applyNumberFormat="1" applyFont="1" applyFill="1" applyBorder="1"/>
    <xf numFmtId="0" fontId="2" fillId="2" borderId="6" xfId="0" applyFont="1" applyFill="1" applyBorder="1"/>
    <xf numFmtId="165" fontId="2" fillId="5" borderId="15" xfId="0" applyNumberFormat="1" applyFont="1" applyFill="1" applyBorder="1" applyAlignment="1">
      <alignment horizontal="left"/>
    </xf>
    <xf numFmtId="0" fontId="2" fillId="5" borderId="15" xfId="0" applyFont="1" applyFill="1" applyBorder="1"/>
    <xf numFmtId="0" fontId="2" fillId="5" borderId="15" xfId="0" applyFont="1" applyFill="1" applyBorder="1" applyAlignment="1">
      <alignment horizontal="left"/>
    </xf>
    <xf numFmtId="166" fontId="2" fillId="5" borderId="15" xfId="1" applyNumberFormat="1" applyFont="1" applyFill="1" applyBorder="1" applyAlignment="1">
      <alignment horizontal="center"/>
    </xf>
    <xf numFmtId="0" fontId="2" fillId="5" borderId="15" xfId="0" applyFont="1" applyFill="1" applyBorder="1" applyAlignment="1">
      <alignment horizontal="center"/>
    </xf>
    <xf numFmtId="0" fontId="2" fillId="4" borderId="14" xfId="0" applyFont="1" applyFill="1" applyBorder="1"/>
    <xf numFmtId="165" fontId="6" fillId="5" borderId="15" xfId="0" applyNumberFormat="1" applyFont="1" applyFill="1" applyBorder="1" applyAlignment="1">
      <alignment horizontal="left"/>
    </xf>
    <xf numFmtId="0" fontId="6" fillId="5" borderId="15" xfId="0" applyFont="1" applyFill="1" applyBorder="1"/>
    <xf numFmtId="0" fontId="6" fillId="5" borderId="15" xfId="0" applyFont="1" applyFill="1" applyBorder="1" applyAlignment="1">
      <alignment horizontal="left"/>
    </xf>
    <xf numFmtId="166" fontId="6" fillId="5" borderId="15" xfId="1" applyNumberFormat="1" applyFont="1" applyFill="1" applyBorder="1" applyAlignment="1">
      <alignment horizontal="center"/>
    </xf>
    <xf numFmtId="166" fontId="6" fillId="4" borderId="14" xfId="1" applyNumberFormat="1" applyFont="1" applyFill="1" applyBorder="1"/>
    <xf numFmtId="0" fontId="6" fillId="4" borderId="14" xfId="0" applyFont="1" applyFill="1" applyBorder="1"/>
    <xf numFmtId="0" fontId="6" fillId="5" borderId="15" xfId="0" applyFont="1" applyFill="1" applyBorder="1" applyAlignment="1">
      <alignment horizontal="center"/>
    </xf>
    <xf numFmtId="0" fontId="2" fillId="4" borderId="16" xfId="0" applyFont="1" applyFill="1" applyBorder="1"/>
    <xf numFmtId="166" fontId="2" fillId="4" borderId="10" xfId="1" applyNumberFormat="1" applyFont="1" applyFill="1" applyBorder="1" applyAlignment="1">
      <alignment horizontal="center"/>
    </xf>
    <xf numFmtId="166" fontId="2" fillId="4" borderId="16" xfId="1" applyNumberFormat="1" applyFont="1" applyFill="1" applyBorder="1"/>
    <xf numFmtId="0" fontId="2" fillId="5" borderId="10" xfId="0" applyFont="1" applyFill="1" applyBorder="1" applyAlignment="1">
      <alignment horizontal="center"/>
    </xf>
    <xf numFmtId="166" fontId="2" fillId="4" borderId="14" xfId="0" applyNumberFormat="1" applyFont="1" applyFill="1" applyBorder="1"/>
    <xf numFmtId="165" fontId="9" fillId="5" borderId="15" xfId="0" applyNumberFormat="1" applyFont="1" applyFill="1" applyBorder="1" applyAlignment="1">
      <alignment horizontal="left"/>
    </xf>
    <xf numFmtId="0" fontId="9" fillId="5" borderId="15" xfId="0" applyFont="1" applyFill="1" applyBorder="1"/>
    <xf numFmtId="0" fontId="9" fillId="5" borderId="15" xfId="0" applyFont="1" applyFill="1" applyBorder="1" applyAlignment="1">
      <alignment horizontal="left"/>
    </xf>
    <xf numFmtId="166" fontId="9" fillId="5" borderId="15" xfId="1" applyNumberFormat="1" applyFont="1" applyFill="1" applyBorder="1" applyAlignment="1">
      <alignment horizontal="center"/>
    </xf>
    <xf numFmtId="0" fontId="9" fillId="4" borderId="14" xfId="0" applyFont="1" applyFill="1" applyBorder="1"/>
    <xf numFmtId="0" fontId="9" fillId="5" borderId="15" xfId="0" applyFont="1" applyFill="1" applyBorder="1" applyAlignment="1">
      <alignment horizontal="center"/>
    </xf>
    <xf numFmtId="165" fontId="9" fillId="0" borderId="15" xfId="0" applyNumberFormat="1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9" fillId="0" borderId="15" xfId="0" applyFont="1" applyBorder="1"/>
    <xf numFmtId="166" fontId="9" fillId="0" borderId="15" xfId="1" applyNumberFormat="1" applyFont="1" applyBorder="1" applyAlignment="1">
      <alignment horizontal="center"/>
    </xf>
    <xf numFmtId="0" fontId="9" fillId="0" borderId="14" xfId="0" applyFont="1" applyBorder="1"/>
    <xf numFmtId="165" fontId="9" fillId="8" borderId="15" xfId="0" applyNumberFormat="1" applyFont="1" applyFill="1" applyBorder="1" applyAlignment="1">
      <alignment horizontal="left"/>
    </xf>
    <xf numFmtId="0" fontId="9" fillId="8" borderId="15" xfId="0" applyFont="1" applyFill="1" applyBorder="1" applyAlignment="1">
      <alignment horizontal="left"/>
    </xf>
    <xf numFmtId="0" fontId="9" fillId="8" borderId="15" xfId="0" applyFont="1" applyFill="1" applyBorder="1"/>
    <xf numFmtId="0" fontId="9" fillId="8" borderId="15" xfId="0" applyFont="1" applyFill="1" applyBorder="1" applyAlignment="1">
      <alignment horizontal="center"/>
    </xf>
    <xf numFmtId="166" fontId="9" fillId="8" borderId="10" xfId="1" applyNumberFormat="1" applyFont="1" applyFill="1" applyBorder="1" applyAlignment="1">
      <alignment horizontal="center"/>
    </xf>
    <xf numFmtId="165" fontId="2" fillId="0" borderId="15" xfId="0" applyNumberFormat="1" applyFont="1" applyBorder="1" applyAlignment="1">
      <alignment horizontal="left"/>
    </xf>
    <xf numFmtId="165" fontId="2" fillId="8" borderId="15" xfId="0" applyNumberFormat="1" applyFont="1" applyFill="1" applyBorder="1" applyAlignment="1">
      <alignment horizontal="left"/>
    </xf>
    <xf numFmtId="15" fontId="2" fillId="5" borderId="15" xfId="0" applyNumberFormat="1" applyFont="1" applyFill="1" applyBorder="1" applyAlignment="1">
      <alignment horizontal="left"/>
    </xf>
    <xf numFmtId="166" fontId="2" fillId="4" borderId="14" xfId="1" applyNumberFormat="1" applyFont="1" applyFill="1" applyBorder="1" applyAlignment="1">
      <alignment horizontal="center"/>
    </xf>
    <xf numFmtId="166" fontId="2" fillId="5" borderId="15" xfId="0" applyNumberFormat="1" applyFont="1" applyFill="1" applyBorder="1" applyAlignment="1">
      <alignment horizontal="center"/>
    </xf>
    <xf numFmtId="166" fontId="2" fillId="5" borderId="16" xfId="1" applyNumberFormat="1" applyFont="1" applyFill="1" applyBorder="1" applyAlignment="1">
      <alignment horizontal="center"/>
    </xf>
    <xf numFmtId="0" fontId="10" fillId="5" borderId="15" xfId="0" applyFont="1" applyFill="1" applyBorder="1"/>
    <xf numFmtId="0" fontId="10" fillId="5" borderId="15" xfId="0" applyFont="1" applyFill="1" applyBorder="1" applyAlignment="1">
      <alignment horizontal="left"/>
    </xf>
    <xf numFmtId="0" fontId="2" fillId="7" borderId="15" xfId="0" applyFont="1" applyFill="1" applyBorder="1"/>
    <xf numFmtId="0" fontId="2" fillId="7" borderId="15" xfId="0" applyFont="1" applyFill="1" applyBorder="1" applyAlignment="1">
      <alignment horizontal="left"/>
    </xf>
    <xf numFmtId="166" fontId="2" fillId="7" borderId="15" xfId="1" applyNumberFormat="1" applyFont="1" applyFill="1" applyBorder="1" applyAlignment="1">
      <alignment horizontal="center"/>
    </xf>
    <xf numFmtId="0" fontId="2" fillId="7" borderId="14" xfId="0" applyFont="1" applyFill="1" applyBorder="1"/>
    <xf numFmtId="0" fontId="2" fillId="7" borderId="15" xfId="0" applyFont="1" applyFill="1" applyBorder="1" applyAlignment="1">
      <alignment horizontal="center"/>
    </xf>
    <xf numFmtId="166" fontId="2" fillId="7" borderId="10" xfId="1" applyNumberFormat="1" applyFont="1" applyFill="1" applyBorder="1" applyAlignment="1">
      <alignment horizontal="center"/>
    </xf>
    <xf numFmtId="164" fontId="2" fillId="5" borderId="19" xfId="0" applyNumberFormat="1" applyFont="1" applyFill="1" applyBorder="1" applyAlignment="1">
      <alignment horizontal="left"/>
    </xf>
    <xf numFmtId="164" fontId="9" fillId="5" borderId="19" xfId="0" applyNumberFormat="1" applyFont="1" applyFill="1" applyBorder="1" applyAlignment="1">
      <alignment horizontal="left"/>
    </xf>
    <xf numFmtId="164" fontId="6" fillId="5" borderId="19" xfId="0" applyNumberFormat="1" applyFont="1" applyFill="1" applyBorder="1" applyAlignment="1">
      <alignment horizontal="left"/>
    </xf>
    <xf numFmtId="164" fontId="9" fillId="0" borderId="19" xfId="0" applyNumberFormat="1" applyFont="1" applyBorder="1" applyAlignment="1">
      <alignment horizontal="left"/>
    </xf>
    <xf numFmtId="164" fontId="9" fillId="8" borderId="19" xfId="0" applyNumberFormat="1" applyFont="1" applyFill="1" applyBorder="1" applyAlignment="1">
      <alignment horizontal="left"/>
    </xf>
    <xf numFmtId="164" fontId="2" fillId="7" borderId="19" xfId="0" applyNumberFormat="1" applyFont="1" applyFill="1" applyBorder="1" applyAlignment="1">
      <alignment horizontal="left"/>
    </xf>
    <xf numFmtId="0" fontId="11" fillId="5" borderId="0" xfId="0" applyFont="1" applyFill="1" applyAlignment="1">
      <alignment horizontal="left"/>
    </xf>
    <xf numFmtId="0" fontId="11" fillId="5" borderId="17" xfId="0" applyFont="1" applyFill="1" applyBorder="1" applyAlignment="1">
      <alignment horizontal="left"/>
    </xf>
    <xf numFmtId="0" fontId="11" fillId="5" borderId="17" xfId="0" applyFont="1" applyFill="1" applyBorder="1"/>
    <xf numFmtId="0" fontId="11" fillId="5" borderId="17" xfId="0" applyFont="1" applyFill="1" applyBorder="1" applyAlignment="1">
      <alignment horizontal="center"/>
    </xf>
    <xf numFmtId="0" fontId="11" fillId="4" borderId="18" xfId="0" applyFont="1" applyFill="1" applyBorder="1"/>
    <xf numFmtId="166" fontId="2" fillId="0" borderId="0" xfId="1" applyNumberFormat="1" applyFont="1"/>
    <xf numFmtId="165" fontId="2" fillId="7" borderId="15" xfId="0" applyNumberFormat="1" applyFont="1" applyFill="1" applyBorder="1" applyAlignment="1">
      <alignment horizontal="left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4" fontId="0" fillId="0" borderId="0" xfId="0" applyNumberFormat="1"/>
    <xf numFmtId="0" fontId="8" fillId="0" borderId="0" xfId="0" applyFont="1"/>
    <xf numFmtId="0" fontId="2" fillId="5" borderId="4" xfId="0" applyFont="1" applyFill="1" applyBorder="1" applyAlignment="1">
      <alignment horizontal="left" vertical="top"/>
    </xf>
    <xf numFmtId="0" fontId="2" fillId="5" borderId="7" xfId="0" applyFont="1" applyFill="1" applyBorder="1" applyAlignment="1">
      <alignment horizontal="left" vertical="top"/>
    </xf>
    <xf numFmtId="0" fontId="4" fillId="3" borderId="0" xfId="0" applyFont="1" applyFill="1" applyAlignment="1">
      <alignment horizontal="center"/>
    </xf>
    <xf numFmtId="14" fontId="0" fillId="8" borderId="20" xfId="0" applyNumberFormat="1" applyFont="1" applyFill="1" applyBorder="1"/>
    <xf numFmtId="14" fontId="0" fillId="8" borderId="21" xfId="0" applyNumberFormat="1" applyFont="1" applyFill="1" applyBorder="1"/>
    <xf numFmtId="0" fontId="0" fillId="8" borderId="21" xfId="0" applyFont="1" applyFill="1" applyBorder="1"/>
    <xf numFmtId="0" fontId="0" fillId="8" borderId="22" xfId="0" applyFont="1" applyFill="1" applyBorder="1"/>
    <xf numFmtId="0" fontId="13" fillId="0" borderId="0" xfId="0" applyFont="1"/>
    <xf numFmtId="0" fontId="12" fillId="9" borderId="24" xfId="0" applyFont="1" applyFill="1" applyBorder="1"/>
    <xf numFmtId="0" fontId="12" fillId="9" borderId="23" xfId="0" applyFont="1" applyFill="1" applyBorder="1"/>
    <xf numFmtId="0" fontId="12" fillId="9" borderId="25" xfId="0" applyFont="1" applyFill="1" applyBorder="1"/>
    <xf numFmtId="14" fontId="0" fillId="8" borderId="24" xfId="0" applyNumberFormat="1" applyFont="1" applyFill="1" applyBorder="1"/>
    <xf numFmtId="14" fontId="0" fillId="8" borderId="23" xfId="0" applyNumberFormat="1" applyFont="1" applyFill="1" applyBorder="1"/>
    <xf numFmtId="0" fontId="0" fillId="8" borderId="23" xfId="0" applyFont="1" applyFill="1" applyBorder="1"/>
    <xf numFmtId="0" fontId="0" fillId="8" borderId="25" xfId="0" applyFont="1" applyFill="1" applyBorder="1"/>
    <xf numFmtId="14" fontId="0" fillId="0" borderId="24" xfId="0" applyNumberFormat="1" applyFont="1" applyBorder="1"/>
    <xf numFmtId="14" fontId="0" fillId="0" borderId="23" xfId="0" applyNumberFormat="1" applyFont="1" applyBorder="1"/>
    <xf numFmtId="0" fontId="0" fillId="0" borderId="23" xfId="0" applyFont="1" applyBorder="1"/>
    <xf numFmtId="0" fontId="0" fillId="0" borderId="25" xfId="0" applyFont="1" applyBorder="1"/>
    <xf numFmtId="14" fontId="0" fillId="7" borderId="24" xfId="0" applyNumberFormat="1" applyFont="1" applyFill="1" applyBorder="1"/>
    <xf numFmtId="14" fontId="0" fillId="7" borderId="23" xfId="0" applyNumberFormat="1" applyFont="1" applyFill="1" applyBorder="1"/>
    <xf numFmtId="0" fontId="0" fillId="7" borderId="23" xfId="0" applyFont="1" applyFill="1" applyBorder="1"/>
    <xf numFmtId="0" fontId="0" fillId="7" borderId="25" xfId="0" applyFont="1" applyFill="1" applyBorder="1"/>
    <xf numFmtId="0" fontId="0" fillId="7" borderId="0" xfId="0" applyFill="1"/>
    <xf numFmtId="0" fontId="5" fillId="0" borderId="23" xfId="0" applyFont="1" applyBorder="1"/>
    <xf numFmtId="0" fontId="5" fillId="0" borderId="25" xfId="0" applyFont="1" applyBorder="1"/>
  </cellXfs>
  <cellStyles count="2">
    <cellStyle name="Comma" xfId="1" builtinId="3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9" formatCode="dd/mm/yyyy"/>
    </dxf>
    <dxf>
      <numFmt numFmtId="19" formatCode="dd/mm/yyyy"/>
    </dxf>
    <dxf>
      <numFmt numFmtId="167" formatCode="m/d/yyyy"/>
    </dxf>
    <dxf>
      <numFmt numFmtId="167" formatCode="m/d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6" formatCode="_(* #,##0_);_(* \(#,##0\);_(* &quot;-&quot;??_);_(@_)"/>
      <fill>
        <patternFill patternType="solid">
          <fgColor indexed="64"/>
          <bgColor theme="5" tint="0.79998168889431442"/>
        </patternFill>
      </fill>
      <border diagonalUp="0" diagonalDown="0">
        <left style="hair">
          <color auto="1"/>
        </left>
        <right style="thick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6" formatCode="_(* #,##0_);_(* \(#,##0\);_(* &quot;-&quot;??_);_(@_)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fill>
        <patternFill patternType="solid">
          <fgColor indexed="64"/>
          <bgColor theme="0" tint="-4.9989318521683403E-2"/>
        </patternFill>
      </fill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fill>
        <patternFill patternType="solid">
          <fgColor indexed="64"/>
          <bgColor theme="0" tint="-4.9989318521683403E-2"/>
        </patternFill>
      </fill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5" formatCode="[$-409]d\-mmm\-yy;@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 style="hair">
          <color auto="1"/>
        </left>
        <right/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entury Gothic"/>
        <scheme val="none"/>
      </font>
      <numFmt numFmtId="164" formatCode="[$-409]mmmm\-yy;@"/>
      <fill>
        <patternFill patternType="solid">
          <fgColor indexed="64"/>
          <bgColor theme="0" tint="-4.9989318521683403E-2"/>
        </patternFill>
      </fill>
      <alignment horizontal="left" vertical="bottom" textRotation="0" wrapText="0" indent="0" justifyLastLine="0" shrinkToFit="0" readingOrder="0"/>
      <border diagonalUp="0" diagonalDown="0">
        <left/>
        <right/>
        <top style="hair">
          <color auto="1"/>
        </top>
        <bottom/>
        <vertical/>
        <horizontal/>
      </border>
    </dxf>
    <dxf>
      <border outline="0">
        <left style="thick">
          <color auto="1"/>
        </left>
        <top style="thick">
          <color auto="1"/>
        </top>
        <bottom style="hair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213360</xdr:colOff>
      <xdr:row>1</xdr:row>
      <xdr:rowOff>68580</xdr:rowOff>
    </xdr:from>
    <xdr:to>
      <xdr:col>6</xdr:col>
      <xdr:colOff>327660</xdr:colOff>
      <xdr:row>1</xdr:row>
      <xdr:rowOff>152400</xdr:rowOff>
    </xdr:to>
    <xdr:sp macro="" textlink="">
      <xdr:nvSpPr>
        <xdr:cNvPr id="2" name="Minus Sign 1">
          <a:extLst>
            <a:ext uri="{FF2B5EF4-FFF2-40B4-BE49-F238E27FC236}">
              <a16:creationId xmlns:a16="http://schemas.microsoft.com/office/drawing/2014/main" id="{8F4FE9F6-01B0-96EE-0AB2-C91DF5D4A298}"/>
            </a:ext>
          </a:extLst>
        </xdr:cNvPr>
        <xdr:cNvSpPr/>
      </xdr:nvSpPr>
      <xdr:spPr>
        <a:xfrm>
          <a:off x="2895600" y="243840"/>
          <a:ext cx="114300" cy="83820"/>
        </a:xfrm>
        <a:prstGeom prst="mathMinu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281940</xdr:colOff>
      <xdr:row>1</xdr:row>
      <xdr:rowOff>7620</xdr:rowOff>
    </xdr:from>
    <xdr:to>
      <xdr:col>3</xdr:col>
      <xdr:colOff>571500</xdr:colOff>
      <xdr:row>1</xdr:row>
      <xdr:rowOff>167640</xdr:rowOff>
    </xdr:to>
    <xdr:sp macro="" textlink="">
      <xdr:nvSpPr>
        <xdr:cNvPr id="3" name="Equals 2">
          <a:extLst>
            <a:ext uri="{FF2B5EF4-FFF2-40B4-BE49-F238E27FC236}">
              <a16:creationId xmlns:a16="http://schemas.microsoft.com/office/drawing/2014/main" id="{B02E92D3-1405-BCFA-CE89-C592B4C1B5A4}"/>
            </a:ext>
          </a:extLst>
        </xdr:cNvPr>
        <xdr:cNvSpPr/>
      </xdr:nvSpPr>
      <xdr:spPr>
        <a:xfrm>
          <a:off x="1623060" y="182880"/>
          <a:ext cx="289560" cy="160020"/>
        </a:xfrm>
        <a:prstGeom prst="mathEqua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>
            <a:solidFill>
              <a:schemeClr val="tx1"/>
            </a:solidFill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nahimana/Desktop/INEMA/QUARTER%204/INEMA%20JOURNAL%20AND%20G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Journal"/>
      <sheetName val="Detail1"/>
      <sheetName val="Sheet6"/>
      <sheetName val="Sheet2"/>
      <sheetName val="Sheet4"/>
      <sheetName val="Sheet1"/>
      <sheetName val="Interest Calculations"/>
      <sheetName val="Accounts"/>
      <sheetName val="Months"/>
      <sheetName val="Share capital entr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 t="str">
            <v>Details</v>
          </cell>
          <cell r="C2" t="str">
            <v>Account Code</v>
          </cell>
        </row>
        <row r="3">
          <cell r="B3" t="str">
            <v>Ordinary Share Capital</v>
          </cell>
          <cell r="C3">
            <v>1010</v>
          </cell>
        </row>
        <row r="4">
          <cell r="B4" t="str">
            <v>Preference Share Capital</v>
          </cell>
          <cell r="C4">
            <v>1020</v>
          </cell>
        </row>
        <row r="5">
          <cell r="B5" t="str">
            <v>Donor Grants &amp; Contributions</v>
          </cell>
          <cell r="C5">
            <v>1030</v>
          </cell>
        </row>
        <row r="6">
          <cell r="B6" t="str">
            <v>Revaluation Reserves</v>
          </cell>
          <cell r="C6">
            <v>1040</v>
          </cell>
        </row>
        <row r="7">
          <cell r="B7" t="str">
            <v>Retained Earnings</v>
          </cell>
          <cell r="C7">
            <v>1050</v>
          </cell>
        </row>
        <row r="8">
          <cell r="B8" t="str">
            <v>Current Year Surplus/(Deficit)</v>
          </cell>
          <cell r="C8">
            <v>1060</v>
          </cell>
        </row>
        <row r="9">
          <cell r="B9" t="str">
            <v>Long-Term Borrowings</v>
          </cell>
          <cell r="C9">
            <v>2010</v>
          </cell>
        </row>
        <row r="10">
          <cell r="B10" t="str">
            <v>Lease Liabilities</v>
          </cell>
          <cell r="C10">
            <v>2020</v>
          </cell>
        </row>
        <row r="11">
          <cell r="B11" t="str">
            <v>Shareholders’ Loan – Long Term</v>
          </cell>
          <cell r="C11">
            <v>2030</v>
          </cell>
        </row>
        <row r="12">
          <cell r="B12" t="str">
            <v>Trade Payables</v>
          </cell>
          <cell r="C12">
            <v>2510</v>
          </cell>
        </row>
        <row r="13">
          <cell r="B13" t="str">
            <v>Other payables</v>
          </cell>
          <cell r="C13">
            <v>2520</v>
          </cell>
        </row>
        <row r="14">
          <cell r="B14" t="str">
            <v>VAT Control Account</v>
          </cell>
          <cell r="C14">
            <v>2530</v>
          </cell>
        </row>
        <row r="15">
          <cell r="B15" t="str">
            <v>PAYE Payables</v>
          </cell>
          <cell r="C15">
            <v>2540</v>
          </cell>
        </row>
        <row r="16">
          <cell r="B16" t="str">
            <v>Maternity contribution Payables</v>
          </cell>
          <cell r="C16">
            <v>2550</v>
          </cell>
        </row>
        <row r="17">
          <cell r="B17" t="str">
            <v>Pension and Risk Contribution Payables</v>
          </cell>
          <cell r="C17">
            <v>2560</v>
          </cell>
        </row>
        <row r="18">
          <cell r="B18" t="str">
            <v>CBHI Payables</v>
          </cell>
          <cell r="C18">
            <v>2570</v>
          </cell>
        </row>
        <row r="19">
          <cell r="B19" t="str">
            <v>Salary payables</v>
          </cell>
          <cell r="C19">
            <v>2580</v>
          </cell>
        </row>
        <row r="20">
          <cell r="B20" t="str">
            <v>Withholding Tax (WHT) Payables</v>
          </cell>
          <cell r="C20">
            <v>2590</v>
          </cell>
        </row>
        <row r="21">
          <cell r="B21" t="str">
            <v>Social Security Payables</v>
          </cell>
          <cell r="C21">
            <v>2600</v>
          </cell>
        </row>
        <row r="22">
          <cell r="B22" t="str">
            <v>Accrued Expenses</v>
          </cell>
          <cell r="C22">
            <v>2610</v>
          </cell>
        </row>
        <row r="23">
          <cell r="B23" t="str">
            <v>Other Statutory Payables</v>
          </cell>
          <cell r="C23">
            <v>2620</v>
          </cell>
        </row>
        <row r="24">
          <cell r="B24" t="str">
            <v>Unearned Income/Deferred Revenue</v>
          </cell>
          <cell r="C24">
            <v>2630</v>
          </cell>
        </row>
        <row r="25">
          <cell r="B25" t="str">
            <v>Cash on Hand</v>
          </cell>
          <cell r="C25">
            <v>3010</v>
          </cell>
        </row>
        <row r="26">
          <cell r="B26" t="str">
            <v>Bank Accounts</v>
          </cell>
          <cell r="C26">
            <v>3020</v>
          </cell>
        </row>
        <row r="27">
          <cell r="B27" t="str">
            <v>Accounts Receivable – Interest and Fees</v>
          </cell>
          <cell r="C27">
            <v>3030</v>
          </cell>
        </row>
        <row r="28">
          <cell r="B28" t="str">
            <v>Other receivables</v>
          </cell>
          <cell r="C28">
            <v>3040</v>
          </cell>
        </row>
        <row r="29">
          <cell r="B29" t="str">
            <v>Prepaid Expenses</v>
          </cell>
          <cell r="C29">
            <v>3050</v>
          </cell>
        </row>
        <row r="30">
          <cell r="B30" t="str">
            <v>Caution</v>
          </cell>
          <cell r="C30">
            <v>3060</v>
          </cell>
        </row>
        <row r="31">
          <cell r="B31" t="str">
            <v>Loan issued</v>
          </cell>
          <cell r="C31">
            <v>3110</v>
          </cell>
        </row>
        <row r="32">
          <cell r="B32" t="str">
            <v>Performing Loans</v>
          </cell>
          <cell r="C32">
            <v>3120</v>
          </cell>
        </row>
        <row r="33">
          <cell r="B33" t="str">
            <v>Non-Performing Loans</v>
          </cell>
          <cell r="C33">
            <v>3130</v>
          </cell>
        </row>
        <row r="34">
          <cell r="B34" t="str">
            <v>Provision for Loan Losses (Contra-Asset</v>
          </cell>
          <cell r="C34">
            <v>3140</v>
          </cell>
        </row>
        <row r="35">
          <cell r="B35" t="str">
            <v>Property, Plant &amp; Equipment (PPE)</v>
          </cell>
          <cell r="C35">
            <v>3210</v>
          </cell>
        </row>
        <row r="36">
          <cell r="B36" t="str">
            <v>Accumulated Depreciation (Contra-Asset)</v>
          </cell>
          <cell r="C36">
            <v>3220</v>
          </cell>
        </row>
        <row r="37">
          <cell r="B37" t="str">
            <v>Intangible Assets</v>
          </cell>
          <cell r="C37">
            <v>3230</v>
          </cell>
        </row>
        <row r="38">
          <cell r="B38" t="str">
            <v>Other Long-Term Investments</v>
          </cell>
          <cell r="C38">
            <v>3240</v>
          </cell>
        </row>
        <row r="39">
          <cell r="B39" t="str">
            <v>Microloans to Clients</v>
          </cell>
          <cell r="C39">
            <v>4010</v>
          </cell>
        </row>
        <row r="40">
          <cell r="B40" t="str">
            <v>SME Loans</v>
          </cell>
          <cell r="C40">
            <v>4020</v>
          </cell>
        </row>
        <row r="41">
          <cell r="B41" t="str">
            <v>Loan Guarantees Issued (Off-Balance Sheet)</v>
          </cell>
          <cell r="C41">
            <v>4030</v>
          </cell>
        </row>
        <row r="42">
          <cell r="B42" t="str">
            <v>General Loan Loss Provision</v>
          </cell>
          <cell r="C42">
            <v>5010</v>
          </cell>
        </row>
        <row r="43">
          <cell r="B43" t="str">
            <v>Specific Loan Loss Provision</v>
          </cell>
          <cell r="C43">
            <v>5020</v>
          </cell>
        </row>
        <row r="44">
          <cell r="B44" t="str">
            <v>Principal Write-offs</v>
          </cell>
          <cell r="C44">
            <v>5110</v>
          </cell>
        </row>
        <row r="45">
          <cell r="B45" t="str">
            <v>Interest Write-offs</v>
          </cell>
          <cell r="C45">
            <v>5120</v>
          </cell>
        </row>
        <row r="46">
          <cell r="B46" t="str">
            <v>Foreign Exchange Losses</v>
          </cell>
          <cell r="C46">
            <v>5210</v>
          </cell>
        </row>
        <row r="47">
          <cell r="B47" t="str">
            <v>Extraordinary Adjustments</v>
          </cell>
          <cell r="C47">
            <v>5220</v>
          </cell>
        </row>
        <row r="48">
          <cell r="B48" t="str">
            <v>Interest on Borrowings</v>
          </cell>
          <cell r="C48">
            <v>6010</v>
          </cell>
        </row>
        <row r="49">
          <cell r="B49" t="str">
            <v>Salaries &amp; Wages</v>
          </cell>
          <cell r="C49">
            <v>6110</v>
          </cell>
        </row>
        <row r="50">
          <cell r="B50" t="str">
            <v>Staff Benefits &amp; Welfare</v>
          </cell>
          <cell r="C50">
            <v>6120</v>
          </cell>
        </row>
        <row r="51">
          <cell r="B51" t="str">
            <v>Office rent</v>
          </cell>
          <cell r="C51">
            <v>6210</v>
          </cell>
        </row>
        <row r="52">
          <cell r="B52" t="str">
            <v>Utilities</v>
          </cell>
          <cell r="C52">
            <v>6220</v>
          </cell>
        </row>
        <row r="53">
          <cell r="B53" t="str">
            <v>IT &amp; Software Expenses</v>
          </cell>
          <cell r="C53">
            <v>6230</v>
          </cell>
        </row>
        <row r="54">
          <cell r="B54" t="str">
            <v>Depreciation &amp; Amortization</v>
          </cell>
          <cell r="C54">
            <v>6240</v>
          </cell>
        </row>
        <row r="55">
          <cell r="B55" t="str">
            <v>Legal &amp; Professional Fees</v>
          </cell>
          <cell r="C55">
            <v>6250</v>
          </cell>
        </row>
        <row r="56">
          <cell r="B56" t="str">
            <v>Travel &amp; Transport</v>
          </cell>
          <cell r="C56">
            <v>6260</v>
          </cell>
        </row>
        <row r="57">
          <cell r="B57" t="str">
            <v>Communication Expenses</v>
          </cell>
          <cell r="C57">
            <v>6270</v>
          </cell>
        </row>
        <row r="58">
          <cell r="B58" t="str">
            <v xml:space="preserve">Bank charges </v>
          </cell>
          <cell r="C58">
            <v>6280</v>
          </cell>
        </row>
        <row r="59">
          <cell r="B59" t="str">
            <v>Miscellaneous Expenses</v>
          </cell>
          <cell r="C59">
            <v>6290</v>
          </cell>
        </row>
        <row r="60">
          <cell r="B60" t="str">
            <v>Interest Income on Loans</v>
          </cell>
          <cell r="C60">
            <v>7010</v>
          </cell>
        </row>
        <row r="61">
          <cell r="B61" t="str">
            <v>Fees &amp; Commission Income</v>
          </cell>
          <cell r="C61">
            <v>7020</v>
          </cell>
        </row>
        <row r="62">
          <cell r="B62" t="str">
            <v>Penalty &amp; Late Payment Charges</v>
          </cell>
          <cell r="C62">
            <v>7030</v>
          </cell>
        </row>
        <row r="63">
          <cell r="B63" t="str">
            <v>Investment Income</v>
          </cell>
          <cell r="C63">
            <v>7110</v>
          </cell>
        </row>
        <row r="64">
          <cell r="B64" t="str">
            <v>Other Miscellaneous Income</v>
          </cell>
          <cell r="C64">
            <v>7120</v>
          </cell>
        </row>
      </sheetData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Nahimana Jean Nepomuscene" refreshedDate="46213.613504976849" createdVersion="8" refreshedVersion="8" minRefreshableVersion="3" recordCount="574">
  <cacheSource type="worksheet">
    <worksheetSource name="Table6"/>
  </cacheSource>
  <cacheFields count="7">
    <cacheField name="Month" numFmtId="164">
      <sharedItems containsDate="1" containsBlank="1" containsMixedTypes="1" minDate="2026-01-01T00:00:00" maxDate="2026-07-01T00:00:00"/>
    </cacheField>
    <cacheField name="Date" numFmtId="0">
      <sharedItems containsDate="1" containsMixedTypes="1" minDate="2026-01-01T00:00:00" maxDate="2026-07-01T00:00:00"/>
    </cacheField>
    <cacheField name="Narration (Reason)" numFmtId="0">
      <sharedItems containsBlank="1"/>
    </cacheField>
    <cacheField name="Account code" numFmtId="0">
      <sharedItems containsSemiMixedTypes="0" containsString="0" containsNumber="1" containsInteger="1" minValue="1010" maxValue="7020"/>
    </cacheField>
    <cacheField name="Account name " numFmtId="0">
      <sharedItems count="25">
        <s v="Property, Plant &amp; Equipment (PPE)"/>
        <s v="Accumulated Depreciation (Contra-Asset)"/>
        <s v="Caution"/>
        <s v="Loan issued"/>
        <s v="Accounts Receivable – Interest and Fees"/>
        <s v="Other receivables"/>
        <s v="Ordinary Share Capital"/>
        <s v="Retained Earnings"/>
        <s v="Bank Accounts"/>
        <s v="Shareholders’ Loan – Long Term"/>
        <s v="Tax payable"/>
        <s v="VAT Control Account"/>
        <s v="PAYE Payables"/>
        <s v="Maternity contribution Payables"/>
        <s v="Pension and Risk Contribution Payables"/>
        <s v="CBHI Payables"/>
        <s v="Bank charges "/>
        <s v="Cash on Hand"/>
        <s v="Fees &amp; Commission Income"/>
        <s v="Prepaid Expenses"/>
        <s v="Office rent"/>
        <s v="Interest Income on Loans"/>
        <s v="Salaries &amp; Wages"/>
        <s v="Salary payables"/>
        <s v="Miscellaneous Expenses"/>
      </sharedItems>
    </cacheField>
    <cacheField name="Debit" numFmtId="0">
      <sharedItems containsString="0" containsBlank="1" containsNumber="1" minValue="90" maxValue="19924960"/>
    </cacheField>
    <cacheField name="Credit" numFmtId="0">
      <sharedItems containsString="0" containsBlank="1" containsNumber="1" minValue="90" maxValue="300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74">
  <r>
    <d v="2026-01-01T00:00:00"/>
    <d v="2026-01-01T00:00:00"/>
    <m/>
    <n v="3210"/>
    <x v="0"/>
    <n v="2500000"/>
    <m/>
  </r>
  <r>
    <d v="2026-01-01T00:00:00"/>
    <d v="2026-01-01T00:00:00"/>
    <m/>
    <n v="3220"/>
    <x v="1"/>
    <m/>
    <n v="500000"/>
  </r>
  <r>
    <d v="2026-01-01T00:00:00"/>
    <d v="2026-01-01T00:00:00"/>
    <m/>
    <n v="3060"/>
    <x v="2"/>
    <n v="250000"/>
    <m/>
  </r>
  <r>
    <d v="2026-01-01T00:00:00"/>
    <d v="2026-01-01T00:00:00"/>
    <m/>
    <n v="3110"/>
    <x v="3"/>
    <n v="19924960"/>
    <m/>
  </r>
  <r>
    <d v="2026-01-01T00:00:00"/>
    <d v="2026-01-01T00:00:00"/>
    <m/>
    <n v="3030"/>
    <x v="4"/>
    <n v="1405000"/>
    <m/>
  </r>
  <r>
    <d v="2026-01-01T00:00:00"/>
    <d v="2026-01-01T00:00:00"/>
    <m/>
    <n v="3040"/>
    <x v="5"/>
    <n v="73370"/>
    <m/>
  </r>
  <r>
    <d v="2026-01-01T00:00:00"/>
    <d v="2026-01-01T00:00:00"/>
    <m/>
    <n v="1010"/>
    <x v="6"/>
    <m/>
    <n v="30000000"/>
  </r>
  <r>
    <d v="2026-01-01T00:00:00"/>
    <d v="2026-01-01T00:00:00"/>
    <m/>
    <n v="1050"/>
    <x v="7"/>
    <m/>
    <n v="1859574"/>
  </r>
  <r>
    <d v="2026-01-01T00:00:00"/>
    <d v="2026-01-01T00:00:00"/>
    <m/>
    <n v="3020"/>
    <x v="8"/>
    <n v="11440671"/>
    <m/>
  </r>
  <r>
    <d v="2026-01-01T00:00:00"/>
    <d v="2026-01-01T00:00:00"/>
    <m/>
    <n v="2030"/>
    <x v="9"/>
    <m/>
    <n v="2750000"/>
  </r>
  <r>
    <d v="2026-01-01T00:00:00"/>
    <d v="2026-01-01T00:00:00"/>
    <m/>
    <n v="2640"/>
    <x v="10"/>
    <m/>
    <n v="204165"/>
  </r>
  <r>
    <d v="2026-01-01T00:00:00"/>
    <d v="2026-01-01T00:00:00"/>
    <m/>
    <n v="2530"/>
    <x v="11"/>
    <m/>
    <n v="91489"/>
  </r>
  <r>
    <d v="2026-01-01T00:00:00"/>
    <d v="2026-01-01T00:00:00"/>
    <m/>
    <n v="2540"/>
    <x v="12"/>
    <m/>
    <n v="114000"/>
  </r>
  <r>
    <d v="2026-01-01T00:00:00"/>
    <d v="2026-01-01T00:00:00"/>
    <m/>
    <n v="2550"/>
    <x v="13"/>
    <m/>
    <n v="3000"/>
  </r>
  <r>
    <d v="2026-01-01T00:00:00"/>
    <d v="2026-01-01T00:00:00"/>
    <m/>
    <n v="2560"/>
    <x v="14"/>
    <m/>
    <n v="70000"/>
  </r>
  <r>
    <d v="2026-01-01T00:00:00"/>
    <d v="2026-01-01T00:00:00"/>
    <m/>
    <n v="2570"/>
    <x v="15"/>
    <m/>
    <n v="1773"/>
  </r>
  <r>
    <d v="2026-01-01T00:00:00"/>
    <d v="2026-01-01T00:00:00"/>
    <m/>
    <n v="6280"/>
    <x v="16"/>
    <n v="2000"/>
    <m/>
  </r>
  <r>
    <d v="2026-01-01T00:00:00"/>
    <d v="2026-01-01T00:00:00"/>
    <m/>
    <n v="3020"/>
    <x v="8"/>
    <m/>
    <n v="2000"/>
  </r>
  <r>
    <d v="2026-01-01T00:00:00"/>
    <d v="2026-01-01T00:00:00"/>
    <m/>
    <n v="6280"/>
    <x v="16"/>
    <n v="200"/>
    <m/>
  </r>
  <r>
    <d v="2026-01-01T00:00:00"/>
    <d v="2026-01-01T00:00:00"/>
    <m/>
    <n v="3020"/>
    <x v="8"/>
    <m/>
    <n v="200"/>
  </r>
  <r>
    <d v="2026-01-02T00:00:00"/>
    <d v="2026-01-03T00:00:00"/>
    <s v="Loan repayment by Habimana Emmanuel on 03/01/2026"/>
    <n v="3020"/>
    <x v="8"/>
    <n v="1300000"/>
    <m/>
  </r>
  <r>
    <d v="2026-01-03T00:00:00"/>
    <d v="2026-01-03T00:00:00"/>
    <s v="Loan repayment by Habimana Emmanuel on 03/01/2026"/>
    <n v="3030"/>
    <x v="4"/>
    <m/>
    <n v="220800"/>
  </r>
  <r>
    <d v="2026-01-05T00:00:00"/>
    <d v="2026-01-03T00:00:00"/>
    <s v="Loan repayment by Habimana Emmanuel on 03/01/2026"/>
    <n v="3110"/>
    <x v="3"/>
    <m/>
    <n v="1079200"/>
  </r>
  <r>
    <d v="2026-01-06T00:00:00"/>
    <d v="2026-01-05T00:00:00"/>
    <s v="Internal transfer charges"/>
    <n v="6280"/>
    <x v="16"/>
    <n v="500"/>
    <m/>
  </r>
  <r>
    <d v="2026-01-07T00:00:00"/>
    <d v="2026-01-05T00:00:00"/>
    <s v="Internal transfer charges"/>
    <n v="3020"/>
    <x v="8"/>
    <m/>
    <n v="500"/>
  </r>
  <r>
    <d v="2026-01-08T00:00:00"/>
    <d v="2026-01-05T00:00:00"/>
    <s v="Cheque issued to Airtel "/>
    <n v="6280"/>
    <x v="16"/>
    <n v="20000"/>
    <m/>
  </r>
  <r>
    <d v="2026-01-09T00:00:00"/>
    <d v="2026-01-05T00:00:00"/>
    <s v="Cheque issued to Airtel "/>
    <n v="3020"/>
    <x v="8"/>
    <m/>
    <n v="20000"/>
  </r>
  <r>
    <d v="2026-01-10T00:00:00"/>
    <d v="2026-01-06T00:00:00"/>
    <s v="Loan repayment made by HABIMANA Emmanuel "/>
    <n v="3020"/>
    <x v="8"/>
    <n v="350000"/>
    <m/>
  </r>
  <r>
    <d v="2026-01-11T00:00:00"/>
    <d v="2026-01-06T00:00:00"/>
    <s v="Loan repayment made by HABIMANA Emmanuel "/>
    <n v="3110"/>
    <x v="3"/>
    <m/>
    <n v="350000"/>
  </r>
  <r>
    <d v="2026-01-12T00:00:00"/>
    <d v="2026-01-07T00:00:00"/>
    <s v="Loan repayment made by NTABANGANYIMANA Fabien "/>
    <n v="3020"/>
    <x v="8"/>
    <n v="5000000"/>
    <m/>
  </r>
  <r>
    <d v="2026-01-13T00:00:00"/>
    <d v="2026-01-07T00:00:00"/>
    <s v="Loan repayment made by NTABANGANYIMANA Fabien "/>
    <n v="3110"/>
    <x v="3"/>
    <m/>
    <n v="5000000"/>
  </r>
  <r>
    <d v="2026-01-14T00:00:00"/>
    <d v="2026-01-07T00:00:00"/>
    <s v="Loan repayment made by NTABANGANYIMANA Fabien "/>
    <n v="3020"/>
    <x v="8"/>
    <n v="1000000"/>
    <m/>
  </r>
  <r>
    <d v="2026-01-15T00:00:00"/>
    <d v="2026-01-07T00:00:00"/>
    <s v="Loan repayment made by NTABANGANYIMANA Fabien "/>
    <n v="3110"/>
    <x v="3"/>
    <m/>
    <n v="1000000"/>
  </r>
  <r>
    <d v="2026-01-15T00:00:00"/>
    <d v="2026-01-08T00:00:00"/>
    <s v="Loan repayment made by  HABIMANA Emmanuel "/>
    <n v="3020"/>
    <x v="8"/>
    <n v="70200"/>
    <m/>
  </r>
  <r>
    <d v="2026-01-15T00:00:00"/>
    <d v="2026-01-08T00:00:00"/>
    <s v="Loan repayment made by  HABIMANA Emmanuel "/>
    <n v="3110"/>
    <x v="3"/>
    <m/>
    <n v="70200"/>
  </r>
  <r>
    <d v="2026-01-16T00:00:00"/>
    <d v="2026-01-09T00:00:00"/>
    <s v="Cash withdrawal charges "/>
    <n v="6280"/>
    <x v="16"/>
    <n v="500"/>
    <m/>
  </r>
  <r>
    <d v="2026-01-17T00:00:00"/>
    <d v="2026-01-09T00:00:00"/>
    <s v="Cash withdrawal charges "/>
    <n v="3020"/>
    <x v="8"/>
    <m/>
    <n v="500"/>
  </r>
  <r>
    <d v="2026-01-18T00:00:00"/>
    <d v="2026-01-09T00:00:00"/>
    <s v="Cash withdrawal by KUBWIMANA Devotha"/>
    <n v="3010"/>
    <x v="17"/>
    <n v="50000"/>
    <m/>
  </r>
  <r>
    <d v="2026-01-19T00:00:00"/>
    <d v="2026-01-09T00:00:00"/>
    <s v="Cash withdrawal by KUBWIMANA Devotha"/>
    <n v="3020"/>
    <x v="8"/>
    <m/>
    <n v="50000"/>
  </r>
  <r>
    <d v="2026-01-20T00:00:00"/>
    <d v="2026-01-12T00:00:00"/>
    <s v="Loan issued to Misa Simon"/>
    <n v="3030"/>
    <x v="4"/>
    <n v="94400"/>
    <m/>
  </r>
  <r>
    <d v="2026-01-21T00:00:00"/>
    <d v="2026-01-12T00:00:00"/>
    <s v="Loan issued to Misa Simon"/>
    <n v="3110"/>
    <x v="3"/>
    <n v="2000000"/>
    <m/>
  </r>
  <r>
    <d v="2026-01-22T00:00:00"/>
    <d v="2026-01-12T00:00:00"/>
    <s v="Loan issued to Misa Simon"/>
    <n v="3020"/>
    <x v="8"/>
    <m/>
    <n v="2000000"/>
  </r>
  <r>
    <d v="2026-01-23T00:00:00"/>
    <d v="2026-01-12T00:00:00"/>
    <s v="Loan issued to Misa Simon"/>
    <n v="7020"/>
    <x v="18"/>
    <m/>
    <n v="80000"/>
  </r>
  <r>
    <d v="2026-01-24T00:00:00"/>
    <d v="2026-01-12T00:00:00"/>
    <s v="Loan issued to Misa Simon"/>
    <n v="2530"/>
    <x v="11"/>
    <m/>
    <n v="14400"/>
  </r>
  <r>
    <d v="2026-01-25T00:00:00"/>
    <d v="2026-01-15T00:00:00"/>
    <s v="Pension Payment for december 2025"/>
    <n v="2560"/>
    <x v="14"/>
    <n v="70000"/>
    <m/>
  </r>
  <r>
    <d v="2026-01-26T00:00:00"/>
    <d v="2026-01-15T00:00:00"/>
    <s v="Pension Payment for december 2025"/>
    <n v="3020"/>
    <x v="8"/>
    <m/>
    <n v="70000"/>
  </r>
  <r>
    <d v="2026-01-27T00:00:00"/>
    <d v="2026-01-15T00:00:00"/>
    <s v="RRA Payment charges  "/>
    <n v="6280"/>
    <x v="16"/>
    <n v="500"/>
    <m/>
  </r>
  <r>
    <d v="2026-01-28T00:00:00"/>
    <d v="2026-01-15T00:00:00"/>
    <s v="RRA Payment charges  "/>
    <n v="3020"/>
    <x v="8"/>
    <m/>
    <n v="500"/>
  </r>
  <r>
    <d v="2026-01-29T00:00:00"/>
    <d v="2026-01-15T00:00:00"/>
    <s v="Payment of quarterly VAT from September to december"/>
    <n v="2530"/>
    <x v="11"/>
    <n v="91489"/>
    <m/>
  </r>
  <r>
    <d v="2026-01-30T00:00:00"/>
    <d v="2026-01-15T00:00:00"/>
    <s v="Payment of quarterly VAT from September to december"/>
    <n v="3020"/>
    <x v="8"/>
    <m/>
    <n v="91489"/>
  </r>
  <r>
    <d v="2026-01-31T00:00:00"/>
    <d v="2026-01-15T00:00:00"/>
    <s v="CBHI Payment for december 2025"/>
    <n v="2570"/>
    <x v="15"/>
    <n v="1773"/>
    <m/>
  </r>
  <r>
    <d v="2026-01-01T00:00:00"/>
    <d v="2026-01-15T00:00:00"/>
    <s v="CBHI Payment for december 2025"/>
    <n v="3020"/>
    <x v="8"/>
    <m/>
    <n v="1773"/>
  </r>
  <r>
    <d v="2026-01-02T00:00:00"/>
    <d v="2026-01-15T00:00:00"/>
    <s v="RRA Payment charges  "/>
    <n v="6280"/>
    <x v="16"/>
    <n v="500"/>
    <m/>
  </r>
  <r>
    <d v="2026-01-03T00:00:00"/>
    <d v="2026-01-15T00:00:00"/>
    <s v="RRA Payment charges  "/>
    <n v="3020"/>
    <x v="8"/>
    <m/>
    <n v="500"/>
  </r>
  <r>
    <d v="2026-01-04T00:00:00"/>
    <d v="2026-01-15T00:00:00"/>
    <s v="PAYE Payment for december 2025"/>
    <n v="2540"/>
    <x v="12"/>
    <n v="64000"/>
    <m/>
  </r>
  <r>
    <d v="2026-01-05T00:00:00"/>
    <d v="2026-01-15T00:00:00"/>
    <s v="PAYE Payment for december 2025"/>
    <n v="3020"/>
    <x v="8"/>
    <m/>
    <n v="64000"/>
  </r>
  <r>
    <d v="2026-01-06T00:00:00"/>
    <d v="2026-01-15T00:00:00"/>
    <s v="Maternity contribution payment for december 2025"/>
    <n v="2550"/>
    <x v="13"/>
    <n v="3000"/>
    <m/>
  </r>
  <r>
    <d v="2026-01-07T00:00:00"/>
    <d v="2026-01-15T00:00:00"/>
    <s v="Maternity contribution payment for december 2025"/>
    <n v="3020"/>
    <x v="8"/>
    <m/>
    <n v="3000"/>
  </r>
  <r>
    <d v="2026-01-08T00:00:00"/>
    <d v="2026-01-15T00:00:00"/>
    <s v="Cash withdrawal charges "/>
    <n v="6280"/>
    <x v="16"/>
    <n v="500"/>
    <m/>
  </r>
  <r>
    <d v="2026-01-09T00:00:00"/>
    <d v="2026-01-15T00:00:00"/>
    <s v="Cash withdrawal charges "/>
    <n v="3020"/>
    <x v="8"/>
    <m/>
    <n v="500"/>
  </r>
  <r>
    <d v="2026-01-09T00:00:00"/>
    <d v="2026-01-15T00:00:00"/>
    <s v="Cash withdrawal by KUBWIMANA Devotha"/>
    <n v="3010"/>
    <x v="17"/>
    <n v="25000"/>
    <m/>
  </r>
  <r>
    <d v="2026-01-09T00:00:00"/>
    <d v="2026-01-15T00:00:00"/>
    <s v="Cash withdrawal by KUBWIMANA Devotha"/>
    <n v="3020"/>
    <x v="8"/>
    <m/>
    <n v="25000"/>
  </r>
  <r>
    <d v="2026-01-10T00:00:00"/>
    <d v="2026-01-19T00:00:00"/>
    <s v="Cheque payment charges for 19/01/2026"/>
    <n v="6280"/>
    <x v="16"/>
    <n v="1000"/>
    <m/>
  </r>
  <r>
    <d v="2026-01-11T00:00:00"/>
    <d v="2026-01-19T00:00:00"/>
    <s v="Cheque payment charges for 19/01/2026"/>
    <n v="3020"/>
    <x v="8"/>
    <m/>
    <n v="1000"/>
  </r>
  <r>
    <d v="2026-01-12T00:00:00"/>
    <d v="2026-01-19T00:00:00"/>
    <s v="Prepaid rent for february 2025"/>
    <n v="3050"/>
    <x v="19"/>
    <n v="211864"/>
    <m/>
  </r>
  <r>
    <d v="2026-01-13T00:00:00"/>
    <d v="2026-01-19T00:00:00"/>
    <s v="Rent expense for january 2025"/>
    <n v="6210"/>
    <x v="20"/>
    <n v="211865"/>
    <m/>
  </r>
  <r>
    <d v="2026-01-14T00:00:00"/>
    <d v="2026-01-19T00:00:00"/>
    <s v="Recognition of rent payment made for jan &amp; feb"/>
    <n v="2530"/>
    <x v="11"/>
    <n v="76271"/>
    <m/>
  </r>
  <r>
    <d v="2026-01-15T00:00:00"/>
    <d v="2026-01-19T00:00:00"/>
    <s v="Recognition of rent payment made for jan &amp; feb"/>
    <n v="3020"/>
    <x v="8"/>
    <m/>
    <n v="500000"/>
  </r>
  <r>
    <d v="2026-01-16T00:00:00"/>
    <d v="2026-01-21T00:00:00"/>
    <s v="Loan repayment made by  BIZIMANA Andre"/>
    <n v="3020"/>
    <x v="8"/>
    <n v="1106360"/>
    <m/>
  </r>
  <r>
    <d v="2026-01-16T00:00:00"/>
    <d v="2026-01-21T00:00:00"/>
    <s v="Loan repayment made by  BIZIMANA Andre"/>
    <n v="3030"/>
    <x v="4"/>
    <m/>
    <n v="65000"/>
  </r>
  <r>
    <d v="2026-01-16T00:00:00"/>
    <d v="2026-01-21T00:00:00"/>
    <s v="Loan repayment made by  BIZIMANA Andre"/>
    <n v="7010"/>
    <x v="21"/>
    <m/>
    <n v="65000"/>
  </r>
  <r>
    <d v="2026-01-17T00:00:00"/>
    <d v="2026-01-21T00:00:00"/>
    <s v="Loan repayment made by  BIZIMANA Andre"/>
    <n v="3110"/>
    <x v="3"/>
    <m/>
    <n v="976360"/>
  </r>
  <r>
    <d v="2026-01-18T00:00:00"/>
    <d v="2026-01-22T00:00:00"/>
    <s v="Loan issued to BIZIMANA Andre"/>
    <n v="3030"/>
    <x v="4"/>
    <n v="70800"/>
    <m/>
  </r>
  <r>
    <d v="2026-01-19T00:00:00"/>
    <d v="2026-01-22T00:00:00"/>
    <s v="Loan issued to BIZIMANA Andre"/>
    <n v="3110"/>
    <x v="3"/>
    <n v="1500000"/>
    <m/>
  </r>
  <r>
    <d v="2026-01-20T00:00:00"/>
    <d v="2026-01-22T00:00:00"/>
    <s v="Loan issued to BIZIMANA Andre"/>
    <n v="3020"/>
    <x v="8"/>
    <m/>
    <n v="1500000"/>
  </r>
  <r>
    <d v="2026-01-21T00:00:00"/>
    <d v="2026-01-22T00:00:00"/>
    <s v="Loan issued to BIZIMANA Andre"/>
    <n v="7020"/>
    <x v="18"/>
    <m/>
    <n v="60000"/>
  </r>
  <r>
    <d v="2026-01-22T00:00:00"/>
    <d v="2026-01-22T00:00:00"/>
    <s v="Loan issued to BIZIMANA Andre"/>
    <n v="2530"/>
    <x v="11"/>
    <m/>
    <n v="10800"/>
  </r>
  <r>
    <d v="2026-01-23T00:00:00"/>
    <d v="2026-01-24T00:00:00"/>
    <s v="Loan repayment made by KAMI Girbert"/>
    <n v="3020"/>
    <x v="8"/>
    <n v="100000"/>
    <m/>
  </r>
  <r>
    <d v="2026-01-23T00:00:00"/>
    <d v="2026-01-24T00:00:00"/>
    <s v="Loan repayment made by KAMI Girbert"/>
    <n v="3030"/>
    <x v="4"/>
    <m/>
    <n v="25000"/>
  </r>
  <r>
    <d v="2026-01-23T00:00:00"/>
    <d v="2026-01-24T00:00:00"/>
    <s v="Loan repayment made by KAMI Girbert"/>
    <n v="7010"/>
    <x v="21"/>
    <m/>
    <n v="25000"/>
  </r>
  <r>
    <d v="2026-01-24T00:00:00"/>
    <d v="2026-01-24T00:00:00"/>
    <s v="Loan repayment made by KAMI Girbert"/>
    <n v="3110"/>
    <x v="3"/>
    <m/>
    <n v="50000"/>
  </r>
  <r>
    <d v="2026-01-25T00:00:00"/>
    <d v="2026-01-26T00:00:00"/>
    <s v="Loan repayment by NDAYAMBAJE Eduard on 26/01/2026"/>
    <n v="3020"/>
    <x v="8"/>
    <n v="520800"/>
    <m/>
  </r>
  <r>
    <d v="2026-01-26T00:00:00"/>
    <d v="2026-01-26T00:00:00"/>
    <s v="Loan repayment by NDAYAMBAJE Eduard on 26/01/2026"/>
    <n v="3030"/>
    <x v="4"/>
    <m/>
    <n v="145800"/>
  </r>
  <r>
    <d v="2026-01-27T00:00:00"/>
    <d v="2026-01-26T00:00:00"/>
    <s v="Loan repayment by NDAYAMBAJE Eduard on 26/01/2026"/>
    <n v="7010"/>
    <x v="21"/>
    <m/>
    <n v="75000"/>
  </r>
  <r>
    <d v="2026-01-28T00:00:00"/>
    <d v="2026-01-26T00:00:00"/>
    <s v="Loan repayment by NDAYAMBAJE Eduard on 26/01/2026"/>
    <n v="3110"/>
    <x v="3"/>
    <m/>
    <n v="300000"/>
  </r>
  <r>
    <d v="2026-01-29T00:00:00"/>
    <d v="2026-01-27T00:00:00"/>
    <s v="Loan repayment by MUHORAKEYE Providence on 27/01/2026"/>
    <n v="3020"/>
    <x v="8"/>
    <n v="259440"/>
    <m/>
  </r>
  <r>
    <d v="2026-01-30T00:00:00"/>
    <d v="2026-01-27T00:00:00"/>
    <s v="Loan repayment by MUHORAKEYE Providence on 27/01/2026"/>
    <n v="3030"/>
    <x v="4"/>
    <m/>
    <n v="97200"/>
  </r>
  <r>
    <d v="2026-01-31T00:00:00"/>
    <d v="2026-01-27T00:00:00"/>
    <s v="Loan repayment by MUHORAKEYE Providence on 27/01/2026"/>
    <n v="7010"/>
    <x v="21"/>
    <m/>
    <n v="50000"/>
  </r>
  <r>
    <d v="2026-01-31T00:00:00"/>
    <d v="2026-01-27T00:00:00"/>
    <s v="Loan repayment by MUHORAKEYE Providence on 27/01/2026"/>
    <n v="3110"/>
    <x v="3"/>
    <m/>
    <n v="112240"/>
  </r>
  <r>
    <d v="2026-01-31T00:00:00"/>
    <d v="2026-01-27T00:00:00"/>
    <s v="Loan repayment made by NDAYAMBAJE Eduard"/>
    <n v="3020"/>
    <x v="8"/>
    <n v="1200000"/>
    <m/>
  </r>
  <r>
    <d v="2026-01-31T00:00:00"/>
    <d v="2026-01-27T00:00:00"/>
    <s v="Loan repayment made by NDAYAMBAJE Eduard"/>
    <n v="3110"/>
    <x v="3"/>
    <m/>
    <n v="1200000"/>
  </r>
  <r>
    <d v="2026-01-01T00:00:00"/>
    <d v="2026-01-28T00:00:00"/>
    <s v="Internal transfer charges"/>
    <n v="6280"/>
    <x v="16"/>
    <n v="500"/>
    <m/>
  </r>
  <r>
    <d v="2026-01-01T00:00:00"/>
    <d v="2026-01-28T00:00:00"/>
    <s v="Internal transfer charges"/>
    <n v="3020"/>
    <x v="8"/>
    <m/>
    <n v="500"/>
  </r>
  <r>
    <d v="2026-01-02T00:00:00"/>
    <d v="2026-01-28T00:00:00"/>
    <s v="Salary and wages for  january 2026"/>
    <n v="6110"/>
    <x v="22"/>
    <n v="541501"/>
    <m/>
  </r>
  <r>
    <d v="2026-01-03T00:00:00"/>
    <d v="2026-01-28T00:00:00"/>
    <s v="Salary and wages for  january 2026"/>
    <n v="2540"/>
    <x v="12"/>
    <m/>
    <n v="114000"/>
  </r>
  <r>
    <d v="2026-01-04T00:00:00"/>
    <d v="2026-01-28T00:00:00"/>
    <s v="Salary and wages for  january 2026"/>
    <n v="2550"/>
    <x v="13"/>
    <m/>
    <n v="3000"/>
  </r>
  <r>
    <d v="2026-01-05T00:00:00"/>
    <d v="2026-01-28T00:00:00"/>
    <s v="Salary and wages for  january 2026"/>
    <n v="2560"/>
    <x v="14"/>
    <m/>
    <n v="70000"/>
  </r>
  <r>
    <d v="2026-01-06T00:00:00"/>
    <d v="2026-01-28T00:00:00"/>
    <s v="Salary and wages for  january 2026"/>
    <n v="2570"/>
    <x v="15"/>
    <m/>
    <n v="1773"/>
  </r>
  <r>
    <d v="2026-01-07T00:00:00"/>
    <d v="2026-01-28T00:00:00"/>
    <s v="Salary and wages for  january 2026"/>
    <n v="2580"/>
    <x v="23"/>
    <m/>
    <n v="352728"/>
  </r>
  <r>
    <d v="2026-01-08T00:00:00"/>
    <d v="2026-01-28T00:00:00"/>
    <s v="Payment of Salary and wages for january 2026"/>
    <n v="2580"/>
    <x v="23"/>
    <n v="352728"/>
    <m/>
  </r>
  <r>
    <d v="2026-01-09T00:00:00"/>
    <d v="2026-01-28T00:00:00"/>
    <s v="Payment of Salary and wages for january 2026"/>
    <n v="3020"/>
    <x v="8"/>
    <m/>
    <n v="352728"/>
  </r>
  <r>
    <d v="2026-01-10T00:00:00"/>
    <d v="2026-01-31T00:00:00"/>
    <s v="Account maintenance fees "/>
    <n v="6280"/>
    <x v="16"/>
    <n v="2000"/>
    <m/>
  </r>
  <r>
    <d v="2026-01-11T00:00:00"/>
    <d v="2026-01-31T00:00:00"/>
    <s v="Account maintenance fees "/>
    <n v="3020"/>
    <x v="8"/>
    <m/>
    <n v="2000"/>
  </r>
  <r>
    <d v="2026-02-01T00:00:00"/>
    <d v="2026-02-02T00:00:00"/>
    <s v="Loan repayment by francine  on 02/02/2026"/>
    <n v="3020"/>
    <x v="8"/>
    <n v="340200"/>
    <m/>
  </r>
  <r>
    <d v="2026-02-01T00:00:00"/>
    <d v="2026-02-02T00:00:00"/>
    <s v="Loan repayment by francine  on 02/02/2026"/>
    <n v="3030"/>
    <x v="4"/>
    <m/>
    <n v="165200"/>
  </r>
  <r>
    <d v="2026-02-01T00:00:00"/>
    <d v="2026-02-02T00:00:00"/>
    <s v="Loan repayment by francine  on 02/02/2026"/>
    <n v="7010"/>
    <x v="21"/>
    <m/>
    <n v="175000"/>
  </r>
  <r>
    <d v="2026-02-01T00:00:00"/>
    <d v="2026-02-04T00:00:00"/>
    <s v="Loan issued to KABUSINGE Marie"/>
    <n v="3030"/>
    <x v="4"/>
    <n v="23600"/>
    <m/>
  </r>
  <r>
    <d v="2026-02-01T00:00:00"/>
    <d v="2026-02-04T00:00:00"/>
    <s v="Loan issued to KABUSINGE Marie"/>
    <n v="3110"/>
    <x v="3"/>
    <n v="500000"/>
    <m/>
  </r>
  <r>
    <d v="2026-02-01T00:00:00"/>
    <d v="2026-02-04T00:00:00"/>
    <s v="Loan issued to KABUSINGE Marie"/>
    <n v="3020"/>
    <x v="8"/>
    <m/>
    <n v="500000"/>
  </r>
  <r>
    <d v="2026-02-01T00:00:00"/>
    <d v="2026-02-04T00:00:00"/>
    <s v="Loan issued to KABUSINGE Marie"/>
    <n v="7020"/>
    <x v="18"/>
    <m/>
    <n v="20000"/>
  </r>
  <r>
    <d v="2026-02-01T00:00:00"/>
    <d v="2026-02-04T00:00:00"/>
    <s v="Loan issued to KABUSINGE Marie"/>
    <n v="2530"/>
    <x v="11"/>
    <m/>
    <n v="3600"/>
  </r>
  <r>
    <d v="2026-02-02T00:00:00"/>
    <d v="2026-02-04T00:00:00"/>
    <s v="CBHI Payment for January  2026"/>
    <n v="2570"/>
    <x v="15"/>
    <n v="1773"/>
    <m/>
  </r>
  <r>
    <d v="2026-02-03T00:00:00"/>
    <d v="2026-02-04T00:00:00"/>
    <s v="CBHI Payment for January  2026"/>
    <n v="3020"/>
    <x v="8"/>
    <m/>
    <n v="1773"/>
  </r>
  <r>
    <d v="2026-02-04T00:00:00"/>
    <d v="2026-02-04T00:00:00"/>
    <s v="RRA Payment charges  "/>
    <n v="6280"/>
    <x v="16"/>
    <n v="500"/>
    <m/>
  </r>
  <r>
    <d v="2026-02-05T00:00:00"/>
    <d v="2026-02-04T00:00:00"/>
    <s v="RRA Payment charges  "/>
    <n v="3020"/>
    <x v="8"/>
    <m/>
    <n v="500"/>
  </r>
  <r>
    <d v="2026-02-06T00:00:00"/>
    <d v="2026-02-04T00:00:00"/>
    <s v="PAYE Payment for January 2026"/>
    <n v="2540"/>
    <x v="12"/>
    <n v="114000"/>
    <m/>
  </r>
  <r>
    <d v="2026-02-07T00:00:00"/>
    <d v="2026-02-04T00:00:00"/>
    <s v="PAYE Payment for January 2026"/>
    <n v="3020"/>
    <x v="8"/>
    <m/>
    <n v="114000"/>
  </r>
  <r>
    <d v="2026-02-08T00:00:00"/>
    <d v="2026-02-04T00:00:00"/>
    <s v="Pension Payment for January 2026"/>
    <n v="2560"/>
    <x v="14"/>
    <n v="70000"/>
    <m/>
  </r>
  <r>
    <d v="2026-02-09T00:00:00"/>
    <d v="2026-02-04T00:00:00"/>
    <s v="Pension Payment for January 2026"/>
    <n v="3020"/>
    <x v="8"/>
    <m/>
    <n v="70000"/>
  </r>
  <r>
    <d v="2026-02-10T00:00:00"/>
    <d v="2026-02-04T00:00:00"/>
    <s v="Maternity contribution payment for January  2026"/>
    <n v="2550"/>
    <x v="13"/>
    <n v="3000"/>
    <m/>
  </r>
  <r>
    <d v="2026-02-11T00:00:00"/>
    <d v="2026-02-04T00:00:00"/>
    <s v="Maternity contribution payment for January  2026"/>
    <n v="3020"/>
    <x v="8"/>
    <m/>
    <n v="3000"/>
  </r>
  <r>
    <d v="2026-02-13T00:00:00"/>
    <d v="2026-02-05T00:00:00"/>
    <s v="Loan issued to ARMAND"/>
    <n v="3030"/>
    <x v="4"/>
    <n v="472000"/>
    <m/>
  </r>
  <r>
    <d v="2026-02-13T00:00:00"/>
    <d v="2026-02-05T00:00:00"/>
    <s v="Loan issued to ARMAND"/>
    <n v="3110"/>
    <x v="3"/>
    <n v="10000000"/>
    <m/>
  </r>
  <r>
    <d v="2026-02-13T00:00:00"/>
    <d v="2026-02-05T00:00:00"/>
    <s v="Loan issued to ARMAND"/>
    <n v="3020"/>
    <x v="8"/>
    <m/>
    <n v="10000000"/>
  </r>
  <r>
    <d v="2026-02-13T00:00:00"/>
    <d v="2026-02-05T00:00:00"/>
    <s v="Loan issued to ARMAND"/>
    <n v="7020"/>
    <x v="18"/>
    <m/>
    <n v="400000"/>
  </r>
  <r>
    <d v="2026-02-13T00:00:00"/>
    <d v="2026-02-05T00:00:00"/>
    <s v="Loan issued to ARMAND"/>
    <n v="2530"/>
    <x v="11"/>
    <m/>
    <n v="72000"/>
  </r>
  <r>
    <d v="2026-02-13T00:00:00"/>
    <d v="2026-02-05T00:00:00"/>
    <s v="Internal transfer charges"/>
    <n v="6280"/>
    <x v="16"/>
    <n v="500"/>
    <m/>
  </r>
  <r>
    <d v="2026-02-13T00:00:00"/>
    <d v="2026-02-05T00:00:00"/>
    <s v="Internal transfer charges"/>
    <n v="3020"/>
    <x v="8"/>
    <m/>
    <n v="500"/>
  </r>
  <r>
    <d v="2026-02-14T00:00:00"/>
    <d v="2026-02-10T00:00:00"/>
    <s v="Loan issued to Jean claude"/>
    <n v="3030"/>
    <x v="4"/>
    <n v="23600"/>
    <m/>
  </r>
  <r>
    <d v="2026-02-15T00:00:00"/>
    <d v="2026-02-10T00:00:00"/>
    <s v="Loan issued to Jean claude"/>
    <n v="3110"/>
    <x v="3"/>
    <n v="500000"/>
    <m/>
  </r>
  <r>
    <d v="2026-02-16T00:00:00"/>
    <d v="2026-02-10T00:00:00"/>
    <s v="Loan issued to Jean claude"/>
    <n v="3020"/>
    <x v="8"/>
    <m/>
    <n v="500000"/>
  </r>
  <r>
    <d v="2026-02-17T00:00:00"/>
    <d v="2026-02-10T00:00:00"/>
    <s v="Loan issued to Jean claude"/>
    <n v="7020"/>
    <x v="18"/>
    <m/>
    <n v="20000"/>
  </r>
  <r>
    <d v="2026-02-18T00:00:00"/>
    <d v="2026-02-10T00:00:00"/>
    <s v="Loan issued to Jean claude"/>
    <n v="2530"/>
    <x v="11"/>
    <m/>
    <n v="3600"/>
  </r>
  <r>
    <d v="2026-02-19T00:00:00"/>
    <d v="2026-02-12T00:00:00"/>
    <s v="RRA Payment charges  "/>
    <n v="6280"/>
    <x v="16"/>
    <n v="90"/>
    <m/>
  </r>
  <r>
    <d v="2026-02-20T00:00:00"/>
    <d v="2026-02-12T00:00:00"/>
    <s v="RRA Payment charges  "/>
    <n v="3020"/>
    <x v="8"/>
    <m/>
    <n v="90"/>
  </r>
  <r>
    <d v="2026-02-21T00:00:00"/>
    <d v="2026-02-12T00:00:00"/>
    <s v="Cash withdrawal charges "/>
    <n v="6280"/>
    <x v="16"/>
    <n v="500"/>
    <m/>
  </r>
  <r>
    <d v="2026-02-22T00:00:00"/>
    <d v="2026-02-12T00:00:00"/>
    <s v="Cash withdrawal charges "/>
    <n v="3020"/>
    <x v="8"/>
    <m/>
    <n v="500"/>
  </r>
  <r>
    <d v="2026-02-21T00:00:00"/>
    <d v="2026-02-12T00:00:00"/>
    <s v="Cash withdrawal charges "/>
    <n v="3010"/>
    <x v="17"/>
    <n v="50000"/>
    <m/>
  </r>
  <r>
    <d v="2026-02-22T00:00:00"/>
    <d v="2026-02-12T00:00:00"/>
    <s v="Cash withdrawal charges "/>
    <n v="3020"/>
    <x v="8"/>
    <m/>
    <n v="50000"/>
  </r>
  <r>
    <d v="2026-02-23T00:00:00"/>
    <d v="2026-02-13T00:00:00"/>
    <s v="Loan issued to BAHATI Eric"/>
    <n v="3030"/>
    <x v="4"/>
    <n v="118000"/>
    <m/>
  </r>
  <r>
    <d v="2026-02-24T00:00:00"/>
    <d v="2026-02-13T00:00:00"/>
    <s v="Loan issued to BAHATI Eric"/>
    <n v="3110"/>
    <x v="3"/>
    <n v="2500000"/>
    <m/>
  </r>
  <r>
    <d v="2026-02-25T00:00:00"/>
    <d v="2026-02-13T00:00:00"/>
    <s v="Loan issued to BAHATI Eric"/>
    <n v="3020"/>
    <x v="8"/>
    <m/>
    <n v="2500000"/>
  </r>
  <r>
    <d v="2026-02-26T00:00:00"/>
    <d v="2026-02-13T00:00:00"/>
    <s v="Loan issued to BAHATI Eric"/>
    <n v="7020"/>
    <x v="18"/>
    <m/>
    <n v="100000"/>
  </r>
  <r>
    <d v="2026-02-27T00:00:00"/>
    <d v="2026-02-13T00:00:00"/>
    <s v="Loan issued to BAHATI Eric"/>
    <n v="2530"/>
    <x v="11"/>
    <m/>
    <n v="18000"/>
  </r>
  <r>
    <d v="2026-02-28T00:00:00"/>
    <d v="2026-02-13T00:00:00"/>
    <s v="Loan issued to Desire Demino"/>
    <n v="3030"/>
    <x v="4"/>
    <n v="70800"/>
    <m/>
  </r>
  <r>
    <d v="2026-02-28T00:00:00"/>
    <d v="2026-02-13T00:00:00"/>
    <s v="Loan issued to Desire Demino"/>
    <n v="3110"/>
    <x v="3"/>
    <n v="1500000"/>
    <m/>
  </r>
  <r>
    <d v="2026-02-28T00:00:00"/>
    <d v="2026-02-13T00:00:00"/>
    <s v="Loan issued to Desire Demino"/>
    <n v="3020"/>
    <x v="8"/>
    <m/>
    <n v="1500000"/>
  </r>
  <r>
    <d v="2026-02-28T00:00:00"/>
    <d v="2026-02-13T00:00:00"/>
    <s v="Loan issued to Desire Demino"/>
    <n v="7020"/>
    <x v="18"/>
    <m/>
    <n v="60000"/>
  </r>
  <r>
    <d v="2026-02-28T00:00:00"/>
    <d v="2026-02-13T00:00:00"/>
    <s v="Loan issued to Desire Demino"/>
    <n v="2530"/>
    <x v="11"/>
    <m/>
    <n v="10800"/>
  </r>
  <r>
    <d v="2026-02-28T00:00:00"/>
    <d v="2026-02-13T00:00:00"/>
    <s v="Loan issued to Nzungize Emmanuel"/>
    <n v="3030"/>
    <x v="4"/>
    <n v="94400"/>
    <m/>
  </r>
  <r>
    <d v="2026-02-28T00:00:00"/>
    <d v="2026-02-13T00:00:00"/>
    <s v="Loan issued to Nzungize Emmanuel"/>
    <n v="3110"/>
    <x v="3"/>
    <n v="2000000"/>
    <m/>
  </r>
  <r>
    <d v="2026-02-28T00:00:00"/>
    <d v="2026-02-13T00:00:00"/>
    <s v="Loan issued to Nzungize Emmanuel"/>
    <n v="3020"/>
    <x v="8"/>
    <m/>
    <n v="2000000"/>
  </r>
  <r>
    <d v="2026-02-28T00:00:00"/>
    <d v="2026-02-13T00:00:00"/>
    <s v="Loan issued to Nzungize Emmanuel"/>
    <n v="7020"/>
    <x v="18"/>
    <m/>
    <n v="80000"/>
  </r>
  <r>
    <d v="2026-02-28T00:00:00"/>
    <d v="2026-02-13T00:00:00"/>
    <s v="Loan issued to Nzungize Emmanuel"/>
    <n v="2530"/>
    <x v="11"/>
    <m/>
    <n v="14400"/>
  </r>
  <r>
    <d v="2026-02-28T00:00:00"/>
    <d v="2026-02-19T00:00:00"/>
    <s v="Loan repayment by Abayisenga claude on 19/02/2026"/>
    <n v="3020"/>
    <x v="8"/>
    <n v="548600"/>
    <m/>
  </r>
  <r>
    <d v="2026-02-28T00:00:00"/>
    <d v="2026-02-19T00:00:00"/>
    <s v="Loan repayment by Abayisenga claude on 19/02/2026"/>
    <n v="3030"/>
    <x v="4"/>
    <m/>
    <n v="23600"/>
  </r>
  <r>
    <d v="2026-02-28T00:00:00"/>
    <d v="2026-02-19T00:00:00"/>
    <s v="Loan repayment by Abayisenga claude on 19/02/2026"/>
    <n v="7010"/>
    <x v="21"/>
    <m/>
    <n v="25000"/>
  </r>
  <r>
    <d v="2026-02-28T00:00:00"/>
    <d v="2026-02-19T00:00:00"/>
    <s v="Loan repayment by Abayisenga claude on 19/02/2026"/>
    <n v="3110"/>
    <x v="3"/>
    <m/>
    <n v="500000"/>
  </r>
  <r>
    <d v="2026-02-28T00:00:00"/>
    <d v="2026-02-25T00:00:00"/>
    <s v="Internal transfer charges"/>
    <n v="6280"/>
    <x v="16"/>
    <n v="500"/>
    <m/>
  </r>
  <r>
    <d v="2026-02-28T00:00:00"/>
    <d v="2026-02-25T00:00:00"/>
    <s v="Internal transfer charges"/>
    <n v="3020"/>
    <x v="8"/>
    <m/>
    <n v="500"/>
  </r>
  <r>
    <d v="2026-02-28T00:00:00"/>
    <d v="2026-02-25T00:00:00"/>
    <s v="Salary and wages for February 2026"/>
    <n v="6110"/>
    <x v="22"/>
    <n v="541501"/>
    <m/>
  </r>
  <r>
    <d v="2026-02-28T00:00:00"/>
    <d v="2026-02-25T00:00:00"/>
    <s v="Salary and wages for February  2026"/>
    <n v="2540"/>
    <x v="12"/>
    <m/>
    <n v="114000"/>
  </r>
  <r>
    <d v="2026-02-28T00:00:00"/>
    <d v="2026-02-25T00:00:00"/>
    <s v="Salary and wages for february 2026"/>
    <n v="2550"/>
    <x v="13"/>
    <m/>
    <n v="3000"/>
  </r>
  <r>
    <d v="2026-02-28T00:00:00"/>
    <d v="2026-02-25T00:00:00"/>
    <s v="Salary and wages for february 2026"/>
    <n v="2560"/>
    <x v="14"/>
    <m/>
    <n v="70000"/>
  </r>
  <r>
    <d v="2026-02-28T00:00:00"/>
    <d v="2026-02-25T00:00:00"/>
    <s v="Salary and wages for february 2026"/>
    <n v="2570"/>
    <x v="15"/>
    <m/>
    <n v="1773"/>
  </r>
  <r>
    <d v="2026-02-28T00:00:00"/>
    <d v="2026-02-25T00:00:00"/>
    <s v="Salary and wages for february 2026"/>
    <n v="2580"/>
    <x v="23"/>
    <m/>
    <n v="352728"/>
  </r>
  <r>
    <d v="2026-02-28T00:00:00"/>
    <d v="2026-02-25T00:00:00"/>
    <s v="Payment of Salary and wages for february 2026"/>
    <n v="2580"/>
    <x v="23"/>
    <n v="352728"/>
    <m/>
  </r>
  <r>
    <d v="2026-02-28T00:00:00"/>
    <d v="2026-02-25T00:00:00"/>
    <s v="Payment of Salary and wages for february 2026"/>
    <n v="3020"/>
    <x v="8"/>
    <m/>
    <n v="352728"/>
  </r>
  <r>
    <d v="2026-02-28T00:00:00"/>
    <d v="2026-02-26T00:00:00"/>
    <s v="Loan repayment made by  MUHORAKEYE Providence"/>
    <n v="3020"/>
    <x v="8"/>
    <n v="259440"/>
    <m/>
  </r>
  <r>
    <d v="2026-02-28T00:00:00"/>
    <d v="2026-02-26T00:00:00"/>
    <s v="Loan repayment made by  MUHORAKEYE Providence"/>
    <n v="7010"/>
    <x v="21"/>
    <m/>
    <n v="50000"/>
  </r>
  <r>
    <d v="2026-02-28T00:00:00"/>
    <d v="2026-02-26T00:00:00"/>
    <s v="Loan repayment made by  MUHORAKEYE Providence"/>
    <n v="3110"/>
    <x v="3"/>
    <m/>
    <n v="209440"/>
  </r>
  <r>
    <d v="2026-02-28T00:00:00"/>
    <d v="2026-02-27T00:00:00"/>
    <s v="Loan repayment made by  francine"/>
    <n v="3020"/>
    <x v="8"/>
    <n v="175200"/>
    <m/>
  </r>
  <r>
    <d v="2026-02-28T00:00:00"/>
    <d v="2026-02-27T00:00:00"/>
    <s v="Loan repayment made by  francine"/>
    <n v="7010"/>
    <x v="21"/>
    <m/>
    <n v="175000"/>
  </r>
  <r>
    <d v="2026-02-28T00:00:00"/>
    <d v="2026-02-27T00:00:00"/>
    <s v="Loan repayment made by  francine"/>
    <n v="3110"/>
    <x v="3"/>
    <m/>
    <n v="200"/>
  </r>
  <r>
    <d v="2026-02-28T00:00:00"/>
    <d v="2026-02-28T00:00:00"/>
    <s v="Account maintenance fees "/>
    <n v="6280"/>
    <x v="16"/>
    <n v="2000"/>
    <m/>
  </r>
  <r>
    <d v="2026-02-28T00:00:00"/>
    <d v="2026-02-28T00:00:00"/>
    <s v="Account maintenance fees "/>
    <n v="3020"/>
    <x v="8"/>
    <m/>
    <n v="2000"/>
  </r>
  <r>
    <d v="2026-02-28T00:00:00"/>
    <d v="2026-02-28T00:00:00"/>
    <s v="Account maintenance fees "/>
    <n v="6210"/>
    <x v="20"/>
    <n v="211864"/>
    <m/>
  </r>
  <r>
    <d v="2026-02-28T00:00:00"/>
    <d v="2026-02-28T00:00:00"/>
    <s v="Account maintenance fees "/>
    <n v="3050"/>
    <x v="19"/>
    <m/>
    <n v="211864"/>
  </r>
  <r>
    <d v="2026-03-01T00:00:00"/>
    <d v="2026-03-05T00:00:00"/>
    <s v="Pension Payment for February  2026"/>
    <n v="2560"/>
    <x v="14"/>
    <n v="70000"/>
    <m/>
  </r>
  <r>
    <d v="2026-03-02T00:00:00"/>
    <d v="2026-03-05T00:00:00"/>
    <s v="Pension Payment for February  2026"/>
    <n v="3020"/>
    <x v="8"/>
    <m/>
    <n v="70000"/>
  </r>
  <r>
    <d v="2026-03-03T00:00:00"/>
    <d v="2026-03-05T00:00:00"/>
    <s v="Maternity contribution payment for february   2026"/>
    <n v="2550"/>
    <x v="13"/>
    <n v="3000"/>
    <m/>
  </r>
  <r>
    <d v="2026-03-04T00:00:00"/>
    <d v="2026-03-05T00:00:00"/>
    <s v="Maternity contribution payment for february   2026"/>
    <n v="3020"/>
    <x v="8"/>
    <m/>
    <n v="3000"/>
  </r>
  <r>
    <d v="2026-03-05T00:00:00"/>
    <d v="2026-03-05T00:00:00"/>
    <s v="CBHI Payment for february  2026"/>
    <n v="2570"/>
    <x v="15"/>
    <n v="1773"/>
    <m/>
  </r>
  <r>
    <d v="2026-03-06T00:00:00"/>
    <d v="2026-03-05T00:00:00"/>
    <s v="CBHI Payment for february  2026"/>
    <n v="3020"/>
    <x v="8"/>
    <m/>
    <n v="1773"/>
  </r>
  <r>
    <d v="2026-03-07T00:00:00"/>
    <d v="2026-03-05T00:00:00"/>
    <s v="RRA Payment charges  "/>
    <n v="6280"/>
    <x v="16"/>
    <n v="500"/>
    <m/>
  </r>
  <r>
    <d v="2026-03-08T00:00:00"/>
    <d v="2026-03-05T00:00:00"/>
    <s v="RRA Payment charges  "/>
    <n v="3020"/>
    <x v="8"/>
    <m/>
    <n v="500"/>
  </r>
  <r>
    <d v="2026-03-09T00:00:00"/>
    <d v="2026-03-05T00:00:00"/>
    <s v="PAYE Payment for february  2026"/>
    <n v="2540"/>
    <x v="12"/>
    <n v="114000"/>
    <m/>
  </r>
  <r>
    <d v="2026-03-10T00:00:00"/>
    <d v="2026-03-05T00:00:00"/>
    <s v="PAYE Payment for february  2026"/>
    <n v="3020"/>
    <x v="8"/>
    <m/>
    <n v="114000"/>
  </r>
  <r>
    <d v="2026-03-11T00:00:00"/>
    <d v="2026-03-05T00:00:00"/>
    <s v="Cheque payment charges for 05/03/2026"/>
    <n v="6280"/>
    <x v="16"/>
    <n v="1000"/>
    <m/>
  </r>
  <r>
    <d v="2026-03-12T00:00:00"/>
    <d v="2026-03-05T00:00:00"/>
    <s v="Cheque payment charges for 05/03/2026"/>
    <n v="3020"/>
    <x v="8"/>
    <m/>
    <n v="1000"/>
  </r>
  <r>
    <d v="2026-03-13T00:00:00"/>
    <d v="2026-03-05T00:00:00"/>
    <s v="Prepaid rent for april  2025"/>
    <n v="3050"/>
    <x v="19"/>
    <n v="211864"/>
    <m/>
  </r>
  <r>
    <d v="2026-03-14T00:00:00"/>
    <d v="2026-03-05T00:00:00"/>
    <s v="Rent expense for march 2025"/>
    <n v="6210"/>
    <x v="20"/>
    <n v="211865"/>
    <m/>
  </r>
  <r>
    <d v="2026-03-15T00:00:00"/>
    <d v="2026-03-05T00:00:00"/>
    <s v="Recognition of rent payment made for march &amp; aprl"/>
    <n v="2530"/>
    <x v="11"/>
    <n v="76271"/>
    <m/>
  </r>
  <r>
    <d v="2026-03-16T00:00:00"/>
    <d v="2026-03-05T00:00:00"/>
    <s v="Recognition of rent payment made for march &amp; aprl"/>
    <n v="3020"/>
    <x v="8"/>
    <m/>
    <n v="500000"/>
  </r>
  <r>
    <d v="2026-03-17T00:00:00"/>
    <d v="2026-03-06T00:00:00"/>
    <s v="RRA Payment charges  "/>
    <n v="6280"/>
    <x v="16"/>
    <n v="90"/>
    <m/>
  </r>
  <r>
    <d v="2026-03-18T00:00:00"/>
    <d v="2026-03-06T00:00:00"/>
    <s v="RRA Payment charges  "/>
    <n v="3020"/>
    <x v="8"/>
    <m/>
    <n v="90"/>
  </r>
  <r>
    <d v="2026-03-19T00:00:00"/>
    <d v="2026-03-06T00:00:00"/>
    <s v="Cash withdrawal charges "/>
    <n v="6280"/>
    <x v="16"/>
    <n v="500"/>
    <m/>
  </r>
  <r>
    <d v="2026-03-20T00:00:00"/>
    <d v="2026-03-06T00:00:00"/>
    <s v="Cash withdrawal charges "/>
    <n v="3020"/>
    <x v="8"/>
    <m/>
    <n v="500"/>
  </r>
  <r>
    <d v="2026-03-21T00:00:00"/>
    <d v="2026-03-06T00:00:00"/>
    <s v="Cash withdrawal "/>
    <n v="3010"/>
    <x v="17"/>
    <n v="50000"/>
    <m/>
  </r>
  <r>
    <d v="2026-03-21T00:00:00"/>
    <d v="2026-03-06T00:00:00"/>
    <s v="Cash withdrawal "/>
    <n v="3020"/>
    <x v="8"/>
    <m/>
    <n v="50000"/>
  </r>
  <r>
    <d v="2026-03-21T00:00:00"/>
    <d v="2026-03-06T00:00:00"/>
    <s v="RRA Payment charges  "/>
    <n v="6280"/>
    <x v="16"/>
    <n v="90"/>
    <m/>
  </r>
  <r>
    <d v="2026-03-21T00:00:00"/>
    <d v="2026-03-06T00:00:00"/>
    <s v="RRA Payment charges  "/>
    <n v="3020"/>
    <x v="8"/>
    <m/>
    <n v="90"/>
  </r>
  <r>
    <d v="2026-03-21T00:00:00"/>
    <d v="2026-03-06T00:00:00"/>
    <s v="Cash withdrawal charges "/>
    <n v="6280"/>
    <x v="16"/>
    <n v="500"/>
    <m/>
  </r>
  <r>
    <d v="2026-03-10T00:00:00"/>
    <d v="2026-03-06T00:00:00"/>
    <s v="Cash withdrawal charges "/>
    <n v="3020"/>
    <x v="8"/>
    <m/>
    <n v="500"/>
  </r>
  <r>
    <d v="2026-03-11T00:00:00"/>
    <d v="2026-03-06T00:00:00"/>
    <s v="Cash withdrawal by  kubwimana devota"/>
    <n v="3010"/>
    <x v="17"/>
    <n v="36000"/>
    <m/>
  </r>
  <r>
    <d v="2026-03-12T00:00:00"/>
    <d v="2026-03-06T00:00:00"/>
    <s v="Cash withdrawal by  kubwimana devota"/>
    <n v="3020"/>
    <x v="8"/>
    <m/>
    <n v="36000"/>
  </r>
  <r>
    <d v="2026-03-13T00:00:00"/>
    <d v="2026-03-09T00:00:00"/>
    <s v="Loan issued to STELLA"/>
    <n v="3030"/>
    <x v="4"/>
    <n v="23600"/>
    <m/>
  </r>
  <r>
    <d v="2026-03-14T00:00:00"/>
    <d v="2026-03-09T00:00:00"/>
    <s v="Loan issued to STELLA"/>
    <n v="3110"/>
    <x v="3"/>
    <n v="500000"/>
    <m/>
  </r>
  <r>
    <d v="2026-03-15T00:00:00"/>
    <d v="2026-03-09T00:00:00"/>
    <s v="Loan issued to STELLA"/>
    <n v="3020"/>
    <x v="8"/>
    <m/>
    <n v="500000"/>
  </r>
  <r>
    <d v="2026-03-16T00:00:00"/>
    <d v="2026-03-09T00:00:00"/>
    <s v="Loan issued to STELLA"/>
    <n v="7020"/>
    <x v="18"/>
    <m/>
    <n v="20000"/>
  </r>
  <r>
    <d v="2026-03-17T00:00:00"/>
    <d v="2026-03-09T00:00:00"/>
    <s v="Loan issued to STELLA"/>
    <n v="2530"/>
    <x v="11"/>
    <m/>
    <n v="3600"/>
  </r>
  <r>
    <d v="2026-03-18T00:00:00"/>
    <d v="2026-03-13T00:00:00"/>
    <s v="Loan repayment by nzungize emmanuel on 13/03/2026"/>
    <n v="3020"/>
    <x v="8"/>
    <n v="518880"/>
    <m/>
  </r>
  <r>
    <d v="2026-03-19T00:00:00"/>
    <d v="2026-03-13T00:00:00"/>
    <s v="Loan repayment by nzungize emmanuel on 13/03/2026"/>
    <n v="3030"/>
    <x v="4"/>
    <m/>
    <n v="94400"/>
  </r>
  <r>
    <d v="2026-03-20T00:00:00"/>
    <d v="2026-03-13T00:00:00"/>
    <s v="Loan repayment by nzungize emmanuel on 13/03/2026"/>
    <n v="7010"/>
    <x v="21"/>
    <m/>
    <n v="100000"/>
  </r>
  <r>
    <d v="2026-03-21T00:00:00"/>
    <d v="2026-03-13T00:00:00"/>
    <s v="Loan repayment by nzungize emmanuel on 13/03/2026"/>
    <n v="3110"/>
    <x v="3"/>
    <m/>
    <n v="324480"/>
  </r>
  <r>
    <d v="2026-03-22T00:00:00"/>
    <d v="2026-03-23T00:00:00"/>
    <s v="Loan repayment- Bizimana andre"/>
    <n v="3020"/>
    <x v="8"/>
    <n v="1720800"/>
    <m/>
  </r>
  <r>
    <d v="2026-03-23T00:00:00"/>
    <d v="2026-03-23T00:00:00"/>
    <s v="Loan repayment- Bizimana andre"/>
    <n v="3110"/>
    <x v="3"/>
    <m/>
    <n v="1500000"/>
  </r>
  <r>
    <d v="2026-03-24T00:00:00"/>
    <d v="2026-03-23T00:00:00"/>
    <s v="Loan repayment- Bizimana andre"/>
    <n v="3030"/>
    <x v="4"/>
    <m/>
    <n v="70800"/>
  </r>
  <r>
    <d v="2026-03-25T00:00:00"/>
    <d v="2026-03-23T00:00:00"/>
    <s v="Loan repayment- Bizimana andre"/>
    <n v="7010"/>
    <x v="21"/>
    <m/>
    <n v="150000"/>
  </r>
  <r>
    <d v="2026-03-26T00:00:00"/>
    <d v="2026-03-25T00:00:00"/>
    <s v="Loan repayment made by KAMI Girbert"/>
    <n v="3020"/>
    <x v="8"/>
    <n v="100000"/>
    <m/>
  </r>
  <r>
    <d v="2026-03-26T00:00:00"/>
    <d v="2026-03-25T00:00:00"/>
    <s v="Loan repayment made by KAMI Girbert"/>
    <n v="7010"/>
    <x v="21"/>
    <m/>
    <n v="50000"/>
  </r>
  <r>
    <d v="2026-03-27T00:00:00"/>
    <d v="2026-03-25T00:00:00"/>
    <s v="Loan repayment made by KAMI Girbert"/>
    <n v="3110"/>
    <x v="3"/>
    <m/>
    <n v="50000"/>
  </r>
  <r>
    <d v="2026-03-28T00:00:00"/>
    <d v="2026-03-26T00:00:00"/>
    <s v="Internal transfer charges"/>
    <n v="6280"/>
    <x v="16"/>
    <n v="500"/>
    <m/>
  </r>
  <r>
    <d v="2026-03-29T00:00:00"/>
    <d v="2026-03-26T00:00:00"/>
    <s v="Internal transfer charges"/>
    <n v="3020"/>
    <x v="8"/>
    <m/>
    <n v="500"/>
  </r>
  <r>
    <d v="2026-03-29T00:00:00"/>
    <d v="2026-03-26T00:00:00"/>
    <s v="Salary and wages for March 2026"/>
    <n v="6110"/>
    <x v="22"/>
    <n v="541501"/>
    <m/>
  </r>
  <r>
    <d v="2026-03-29T00:00:00"/>
    <d v="2026-03-26T00:00:00"/>
    <s v="Salary and wages for March 2026"/>
    <n v="2540"/>
    <x v="12"/>
    <m/>
    <n v="114000"/>
  </r>
  <r>
    <d v="2026-03-29T00:00:00"/>
    <d v="2026-03-26T00:00:00"/>
    <s v="Salary and wages for March 2026"/>
    <n v="2550"/>
    <x v="13"/>
    <m/>
    <n v="3000"/>
  </r>
  <r>
    <d v="2026-03-29T00:00:00"/>
    <d v="2026-03-26T00:00:00"/>
    <s v="Salary and wages for March 2026"/>
    <n v="2560"/>
    <x v="14"/>
    <m/>
    <n v="70000"/>
  </r>
  <r>
    <d v="2026-03-29T00:00:00"/>
    <d v="2026-03-26T00:00:00"/>
    <s v="Salary and wages for March 2026"/>
    <n v="2570"/>
    <x v="15"/>
    <m/>
    <n v="1773"/>
  </r>
  <r>
    <d v="2026-03-29T00:00:00"/>
    <d v="2026-03-26T00:00:00"/>
    <s v="Salary and wages for March 2026"/>
    <n v="2580"/>
    <x v="23"/>
    <m/>
    <n v="352728"/>
  </r>
  <r>
    <d v="2026-03-30T00:00:00"/>
    <d v="2026-03-26T00:00:00"/>
    <s v="Payment of Salary and wages for march 2026"/>
    <n v="2580"/>
    <x v="23"/>
    <n v="352728"/>
    <m/>
  </r>
  <r>
    <d v="2026-03-31T00:00:00"/>
    <d v="2026-03-26T00:00:00"/>
    <s v="Payment of Salary and wages for march 2026"/>
    <n v="3020"/>
    <x v="8"/>
    <m/>
    <n v="352728"/>
  </r>
  <r>
    <d v="2026-03-18T00:00:00"/>
    <d v="2026-03-28T00:00:00"/>
    <s v="Loan repayment- simon missa"/>
    <n v="3020"/>
    <x v="8"/>
    <n v="2394400"/>
    <m/>
  </r>
  <r>
    <d v="2026-03-19T00:00:00"/>
    <d v="2026-03-28T00:00:00"/>
    <s v="Loan repayment- simon missa"/>
    <n v="3110"/>
    <x v="3"/>
    <m/>
    <n v="2000000"/>
  </r>
  <r>
    <d v="2026-03-20T00:00:00"/>
    <d v="2026-03-28T00:00:00"/>
    <s v="Loan repayment- simon missa"/>
    <n v="3030"/>
    <x v="4"/>
    <m/>
    <n v="94400"/>
  </r>
  <r>
    <d v="2026-03-21T00:00:00"/>
    <d v="2026-03-28T00:00:00"/>
    <s v="Loan repayment- simon missa"/>
    <n v="7010"/>
    <x v="21"/>
    <m/>
    <n v="300000"/>
  </r>
  <r>
    <d v="2026-03-22T00:00:00"/>
    <d v="2026-03-30T00:00:00"/>
    <s v="Loan issued to indere serge "/>
    <n v="3030"/>
    <x v="4"/>
    <n v="23600"/>
    <m/>
  </r>
  <r>
    <d v="2026-03-23T00:00:00"/>
    <d v="2026-03-30T00:00:00"/>
    <s v="Loan issued to indere serge "/>
    <n v="3110"/>
    <x v="3"/>
    <n v="500000"/>
    <m/>
  </r>
  <r>
    <d v="2026-03-24T00:00:00"/>
    <d v="2026-03-30T00:00:00"/>
    <s v="Loan issued to indere serge "/>
    <n v="3020"/>
    <x v="8"/>
    <m/>
    <n v="500000"/>
  </r>
  <r>
    <d v="2026-03-25T00:00:00"/>
    <d v="2026-03-30T00:00:00"/>
    <s v="Loan issued to indere serge "/>
    <n v="7020"/>
    <x v="18"/>
    <m/>
    <n v="20000"/>
  </r>
  <r>
    <d v="2026-03-26T00:00:00"/>
    <d v="2026-03-30T00:00:00"/>
    <s v="Loan issued to indere serge "/>
    <n v="2530"/>
    <x v="11"/>
    <m/>
    <n v="3600"/>
  </r>
  <r>
    <d v="2026-03-26T00:00:00"/>
    <d v="2026-03-30T00:00:00"/>
    <s v="Loan repayment by Marie kobusinge on 30/03/2026"/>
    <n v="3020"/>
    <x v="8"/>
    <n v="573000"/>
    <m/>
  </r>
  <r>
    <d v="2026-03-27T00:00:00"/>
    <d v="2026-03-30T00:00:00"/>
    <s v="Loan repayment by Marie kobusinge on 30/03/2026"/>
    <n v="3030"/>
    <x v="4"/>
    <m/>
    <n v="23600"/>
  </r>
  <r>
    <d v="2026-03-28T00:00:00"/>
    <d v="2026-03-30T00:00:00"/>
    <s v="Loan repayment by Marie kobusinge on 30/03/2026"/>
    <n v="7010"/>
    <x v="21"/>
    <m/>
    <n v="50000"/>
  </r>
  <r>
    <d v="2026-03-29T00:00:00"/>
    <d v="2026-03-30T00:00:00"/>
    <s v="Loan repayment by Marie kobusinge on 30/03/2026"/>
    <n v="3110"/>
    <x v="3"/>
    <m/>
    <n v="499400"/>
  </r>
  <r>
    <d v="2026-03-30T00:00:00"/>
    <d v="2026-03-31T00:00:00"/>
    <s v="RRA Payment charges  "/>
    <n v="6280"/>
    <x v="16"/>
    <n v="500"/>
    <m/>
  </r>
  <r>
    <d v="2026-03-31T00:00:00"/>
    <d v="2026-03-31T00:00:00"/>
    <s v="RRA Payment charges  "/>
    <n v="3020"/>
    <x v="8"/>
    <m/>
    <n v="500"/>
  </r>
  <r>
    <d v="2026-03-26T00:00:00"/>
    <d v="2026-03-31T00:00:00"/>
    <s v="Corporate Income tax"/>
    <n v="2640"/>
    <x v="10"/>
    <n v="204165"/>
    <m/>
  </r>
  <r>
    <d v="2026-03-27T00:00:00"/>
    <d v="2026-03-31T00:00:00"/>
    <s v="Corporate Income tax"/>
    <n v="3020"/>
    <x v="8"/>
    <m/>
    <n v="204165"/>
  </r>
  <r>
    <d v="2026-03-23T00:00:00"/>
    <d v="2026-03-31T00:00:00"/>
    <s v="Loan repayment by Bigirimana desire on 31/03/2026"/>
    <n v="3020"/>
    <x v="8"/>
    <n v="1041600"/>
    <m/>
  </r>
  <r>
    <d v="2026-03-24T00:00:00"/>
    <d v="2026-03-31T00:00:00"/>
    <s v="Loan repayment by Bigirimana desire on 31/03/2026"/>
    <n v="3030"/>
    <x v="4"/>
    <m/>
    <n v="591600"/>
  </r>
  <r>
    <d v="2026-03-26T00:00:00"/>
    <d v="2026-03-31T00:00:00"/>
    <s v="Loan repayment by Bigirimana desire on 31/03/2026"/>
    <n v="7010"/>
    <x v="21"/>
    <m/>
    <n v="450000"/>
  </r>
  <r>
    <d v="2026-03-27T00:00:00"/>
    <d v="2026-03-31T00:00:00"/>
    <s v="Loan repayment made by  francine"/>
    <n v="3020"/>
    <x v="8"/>
    <n v="175000"/>
    <m/>
  </r>
  <r>
    <d v="2026-03-28T00:00:00"/>
    <d v="2026-03-31T00:00:00"/>
    <s v="Loan repayment made by  francine"/>
    <n v="7010"/>
    <x v="21"/>
    <m/>
    <n v="175000"/>
  </r>
  <r>
    <d v="2026-03-28T00:00:00"/>
    <d v="2026-03-31T00:00:00"/>
    <s v="Loan issued to Ndayambaje eduard"/>
    <n v="3030"/>
    <x v="4"/>
    <n v="75520"/>
    <m/>
  </r>
  <r>
    <d v="2026-03-28T00:00:00"/>
    <d v="2026-03-31T00:00:00"/>
    <s v="Loan issued to Ndayambaje eduard"/>
    <n v="3110"/>
    <x v="3"/>
    <n v="1600000"/>
    <m/>
  </r>
  <r>
    <d v="2026-03-28T00:00:00"/>
    <d v="2026-03-31T00:00:00"/>
    <s v="Loan issued to Ndayambaje eduard"/>
    <n v="3020"/>
    <x v="8"/>
    <m/>
    <n v="1600000"/>
  </r>
  <r>
    <d v="2026-03-28T00:00:00"/>
    <d v="2026-03-31T00:00:00"/>
    <s v="Loan issued to Ndayambaje eduard"/>
    <n v="7020"/>
    <x v="18"/>
    <m/>
    <n v="64000"/>
  </r>
  <r>
    <d v="2026-03-28T00:00:00"/>
    <d v="2026-03-31T00:00:00"/>
    <s v="Loan issued to Ndayambaje eduard"/>
    <n v="2530"/>
    <x v="11"/>
    <m/>
    <n v="11520"/>
  </r>
  <r>
    <d v="2026-03-28T00:00:00"/>
    <d v="2026-03-31T00:00:00"/>
    <s v="Account maintenance fees "/>
    <n v="6280"/>
    <x v="16"/>
    <n v="2000"/>
    <m/>
  </r>
  <r>
    <d v="2026-03-28T00:00:00"/>
    <d v="2026-03-31T00:00:00"/>
    <s v="Account maintenance fees "/>
    <n v="3020"/>
    <x v="8"/>
    <m/>
    <n v="2000"/>
  </r>
  <r>
    <d v="2026-03-28T00:00:00"/>
    <d v="2026-03-31T00:00:00"/>
    <s v="Interest accrual  of March 2026 Interest for Providence MUHORAKEYE"/>
    <n v="3030"/>
    <x v="4"/>
    <n v="50000"/>
    <m/>
  </r>
  <r>
    <d v="2026-03-28T00:00:00"/>
    <d v="2026-03-31T00:00:00"/>
    <s v="Interest accrual  of March 2026 Interest for Providence MUHORAKEYE"/>
    <n v="7010"/>
    <x v="21"/>
    <m/>
    <n v="50000"/>
  </r>
  <r>
    <d v="2026-03-28T00:00:00"/>
    <d v="2026-03-31T00:00:00"/>
    <s v="Expenses paid by cash"/>
    <n v="6300"/>
    <x v="24"/>
    <n v="199500"/>
    <m/>
  </r>
  <r>
    <d v="2026-03-28T00:00:00"/>
    <d v="2026-03-31T00:00:00"/>
    <s v="Expenses paid by cash"/>
    <n v="3010"/>
    <x v="17"/>
    <m/>
    <n v="199500"/>
  </r>
  <r>
    <d v="2026-03-28T00:00:00"/>
    <d v="2026-03-31T00:00:00"/>
    <s v="Adjustment of loan balance"/>
    <n v="3110"/>
    <x v="3"/>
    <n v="1800"/>
    <m/>
  </r>
  <r>
    <d v="2026-03-28T00:00:00"/>
    <d v="2026-03-31T00:00:00"/>
    <s v="Adjustment of loan balance"/>
    <n v="1050"/>
    <x v="7"/>
    <m/>
    <n v="1800"/>
  </r>
  <r>
    <d v="2026-04-01T00:00:00"/>
    <d v="2026-04-02T00:00:00"/>
    <s v="Loan issued to claude"/>
    <n v="3030"/>
    <x v="4"/>
    <n v="23600"/>
    <m/>
  </r>
  <r>
    <d v="2026-04-01T00:00:00"/>
    <d v="2026-04-02T00:00:00"/>
    <s v="Loan issued to claude"/>
    <n v="3110"/>
    <x v="3"/>
    <n v="500000"/>
    <m/>
  </r>
  <r>
    <d v="2026-04-01T00:00:00"/>
    <d v="2026-04-02T00:00:00"/>
    <s v="Loan issued to claude"/>
    <n v="3020"/>
    <x v="8"/>
    <m/>
    <n v="500000"/>
  </r>
  <r>
    <d v="2026-04-01T00:00:00"/>
    <d v="2026-04-02T00:00:00"/>
    <s v="Loan issued to claude"/>
    <n v="7020"/>
    <x v="18"/>
    <m/>
    <n v="20000"/>
  </r>
  <r>
    <d v="2026-04-01T00:00:00"/>
    <d v="2026-04-02T00:00:00"/>
    <s v="Loan issued to claude"/>
    <n v="2530"/>
    <x v="11"/>
    <m/>
    <n v="3600"/>
  </r>
  <r>
    <d v="2026-04-01T00:00:00"/>
    <d v="2026-04-02T00:00:00"/>
    <s v="RRA Payment charges  "/>
    <n v="6280"/>
    <x v="16"/>
    <n v="500"/>
    <m/>
  </r>
  <r>
    <d v="2026-04-01T00:00:00"/>
    <d v="2026-04-02T00:00:00"/>
    <s v="RRA Payment charges  "/>
    <n v="3020"/>
    <x v="8"/>
    <m/>
    <n v="500"/>
  </r>
  <r>
    <d v="2026-04-01T00:00:00"/>
    <d v="2026-04-02T00:00:00"/>
    <s v="PAYE Payment for march  2026"/>
    <n v="2540"/>
    <x v="12"/>
    <n v="114000"/>
    <m/>
  </r>
  <r>
    <d v="2026-04-01T00:00:00"/>
    <d v="2026-04-02T00:00:00"/>
    <s v="PAYE Payment for march  2026"/>
    <n v="3020"/>
    <x v="8"/>
    <m/>
    <n v="114000"/>
  </r>
  <r>
    <d v="2026-04-01T00:00:00"/>
    <d v="2026-04-02T00:00:00"/>
    <s v="Pension Payment for march 2026"/>
    <n v="2560"/>
    <x v="14"/>
    <n v="70000"/>
    <m/>
  </r>
  <r>
    <d v="2026-04-01T00:00:00"/>
    <d v="2026-04-02T00:00:00"/>
    <s v="Pension Payment for march 2026"/>
    <n v="3020"/>
    <x v="8"/>
    <m/>
    <n v="70000"/>
  </r>
  <r>
    <d v="2026-04-01T00:00:00"/>
    <d v="2026-04-02T00:00:00"/>
    <s v="Maternity contribution payment for march   2026"/>
    <n v="2550"/>
    <x v="13"/>
    <n v="3000"/>
    <m/>
  </r>
  <r>
    <d v="2026-04-01T00:00:00"/>
    <d v="2026-04-02T00:00:00"/>
    <s v="Maternity contribution payment for march   2026"/>
    <n v="3020"/>
    <x v="8"/>
    <m/>
    <n v="3000"/>
  </r>
  <r>
    <d v="2026-04-01T00:00:00"/>
    <d v="2026-04-02T00:00:00"/>
    <s v="CBHI Payment for march 2026"/>
    <n v="2570"/>
    <x v="15"/>
    <n v="1773"/>
    <m/>
  </r>
  <r>
    <d v="2026-04-01T00:00:00"/>
    <d v="2026-04-02T00:00:00"/>
    <s v="CBHI Payment for march 2026"/>
    <n v="3020"/>
    <x v="8"/>
    <m/>
    <n v="1773"/>
  </r>
  <r>
    <d v="2026-04-01T00:00:00"/>
    <d v="2026-04-02T00:00:00"/>
    <s v="RRA Payment charges  "/>
    <n v="6280"/>
    <x v="16"/>
    <n v="90"/>
    <m/>
  </r>
  <r>
    <d v="2026-04-01T00:00:00"/>
    <d v="2026-04-02T00:00:00"/>
    <s v="RRA Payment charges  "/>
    <n v="3020"/>
    <x v="8"/>
    <m/>
    <n v="90"/>
  </r>
  <r>
    <d v="2026-04-01T00:00:00"/>
    <d v="2026-04-02T00:00:00"/>
    <s v="Cash withdrawal charges "/>
    <n v="6280"/>
    <x v="16"/>
    <n v="500"/>
    <m/>
  </r>
  <r>
    <d v="2026-04-01T00:00:00"/>
    <d v="2026-04-02T00:00:00"/>
    <s v="Cash withdrawal charges "/>
    <n v="3020"/>
    <x v="8"/>
    <m/>
    <n v="500"/>
  </r>
  <r>
    <d v="2026-04-02T00:00:00"/>
    <d v="2026-04-02T00:00:00"/>
    <s v="Loan issued to felix"/>
    <n v="3030"/>
    <x v="4"/>
    <n v="14160"/>
    <m/>
  </r>
  <r>
    <d v="2026-04-02T00:00:00"/>
    <d v="2026-04-02T00:00:00"/>
    <s v="Loan issued to felix"/>
    <n v="3110"/>
    <x v="3"/>
    <n v="300000"/>
    <m/>
  </r>
  <r>
    <d v="2026-04-03T00:00:00"/>
    <d v="2026-04-02T00:00:00"/>
    <s v="Loan issued to felix"/>
    <n v="3020"/>
    <x v="8"/>
    <m/>
    <n v="300000"/>
  </r>
  <r>
    <d v="2026-04-04T00:00:00"/>
    <d v="2026-04-02T00:00:00"/>
    <s v="Loan issued to felix"/>
    <n v="7020"/>
    <x v="18"/>
    <m/>
    <n v="12000"/>
  </r>
  <r>
    <d v="2026-04-05T00:00:00"/>
    <d v="2026-04-02T00:00:00"/>
    <s v="Loan issued to felix"/>
    <n v="2530"/>
    <x v="11"/>
    <m/>
    <n v="2160"/>
  </r>
  <r>
    <d v="2026-04-05T00:00:00"/>
    <d v="2026-04-08T00:00:00"/>
    <s v="Loan issued to emmanuel"/>
    <n v="3030"/>
    <x v="4"/>
    <n v="47200"/>
    <m/>
  </r>
  <r>
    <d v="2026-04-05T00:00:00"/>
    <d v="2026-04-08T00:00:00"/>
    <s v="Loan issued to emmanuel"/>
    <n v="3110"/>
    <x v="3"/>
    <n v="1000000"/>
    <m/>
  </r>
  <r>
    <d v="2026-04-05T00:00:00"/>
    <d v="2026-04-08T00:00:00"/>
    <s v="Loan issued to emmanuel"/>
    <n v="3020"/>
    <x v="8"/>
    <m/>
    <n v="1000000"/>
  </r>
  <r>
    <d v="2026-04-05T00:00:00"/>
    <d v="2026-04-08T00:00:00"/>
    <s v="Loan issued to emmanuel"/>
    <n v="7020"/>
    <x v="18"/>
    <m/>
    <n v="40000"/>
  </r>
  <r>
    <d v="2026-04-05T00:00:00"/>
    <d v="2026-04-08T00:00:00"/>
    <s v="Loan issued to emmanuel"/>
    <n v="2530"/>
    <x v="11"/>
    <m/>
    <n v="7200"/>
  </r>
  <r>
    <d v="2026-04-06T00:00:00"/>
    <d v="2026-04-08T00:00:00"/>
    <s v="Loan repayment by armand on 08/04/2026"/>
    <n v="3020"/>
    <x v="8"/>
    <n v="10000000"/>
    <m/>
  </r>
  <r>
    <d v="2026-04-07T00:00:00"/>
    <d v="2026-04-08T00:00:00"/>
    <s v="Loan repayment by armand on 08/04/2026"/>
    <n v="3030"/>
    <x v="4"/>
    <m/>
    <n v="472000"/>
  </r>
  <r>
    <d v="2026-04-08T00:00:00"/>
    <d v="2026-04-08T00:00:00"/>
    <s v="Loan repayment by armand on 08/04/2026"/>
    <n v="7010"/>
    <x v="21"/>
    <m/>
    <n v="1000600"/>
  </r>
  <r>
    <d v="2026-04-09T00:00:00"/>
    <d v="2026-04-08T00:00:00"/>
    <s v="Loan repayment by armand on 08/04/2026"/>
    <n v="3110"/>
    <x v="3"/>
    <m/>
    <n v="8527400"/>
  </r>
  <r>
    <d v="2026-04-09T00:00:00"/>
    <d v="2026-04-09T00:00:00"/>
    <s v="Loan repayment made by armand on 09/04/2026"/>
    <n v="3020"/>
    <x v="8"/>
    <n v="1472600"/>
    <m/>
  </r>
  <r>
    <d v="2026-04-09T00:00:00"/>
    <d v="2026-04-09T00:00:00"/>
    <s v="Loan repayment made by armand on 09/04/2027"/>
    <n v="3110"/>
    <x v="3"/>
    <m/>
    <n v="1472600"/>
  </r>
  <r>
    <d v="2026-04-10T00:00:00"/>
    <d v="2026-04-09T00:00:00"/>
    <s v="Loan issued to andre"/>
    <n v="3030"/>
    <x v="4"/>
    <n v="94400"/>
    <m/>
  </r>
  <r>
    <d v="2026-04-10T00:00:00"/>
    <d v="2026-04-09T00:00:00"/>
    <s v="Loan issued to andre"/>
    <n v="3110"/>
    <x v="3"/>
    <n v="2000000"/>
    <m/>
  </r>
  <r>
    <d v="2026-04-11T00:00:00"/>
    <d v="2026-04-09T00:00:00"/>
    <s v="Loan issued to andre"/>
    <n v="3020"/>
    <x v="8"/>
    <m/>
    <n v="2000000"/>
  </r>
  <r>
    <d v="2026-04-12T00:00:00"/>
    <d v="2026-04-09T00:00:00"/>
    <s v="Loan issued to andre"/>
    <n v="7020"/>
    <x v="18"/>
    <m/>
    <n v="80000"/>
  </r>
  <r>
    <d v="2026-04-13T00:00:00"/>
    <d v="2026-04-09T00:00:00"/>
    <s v="Loan issued to andre"/>
    <n v="2530"/>
    <x v="11"/>
    <m/>
    <n v="14400"/>
  </r>
  <r>
    <d v="2026-04-14T00:00:00"/>
    <d v="2026-04-10T00:00:00"/>
    <s v="RRA Payment charges  "/>
    <n v="6280"/>
    <x v="16"/>
    <n v="90"/>
    <m/>
  </r>
  <r>
    <d v="2026-04-15T00:00:00"/>
    <d v="2026-04-10T00:00:00"/>
    <s v="RRA Payment charges  "/>
    <n v="3020"/>
    <x v="8"/>
    <m/>
    <n v="90"/>
  </r>
  <r>
    <d v="2026-04-16T00:00:00"/>
    <d v="2026-04-10T00:00:00"/>
    <s v="Cash withdrawal charges "/>
    <n v="6280"/>
    <x v="16"/>
    <n v="500"/>
    <m/>
  </r>
  <r>
    <d v="2026-04-17T00:00:00"/>
    <d v="2026-04-10T00:00:00"/>
    <s v="Cash withdrawal charges "/>
    <n v="3020"/>
    <x v="8"/>
    <m/>
    <n v="500"/>
  </r>
  <r>
    <d v="2026-04-17T00:00:00"/>
    <d v="2026-04-10T00:00:00"/>
    <s v="Cash withdrawal "/>
    <n v="3010"/>
    <x v="17"/>
    <n v="50000"/>
    <m/>
  </r>
  <r>
    <d v="2026-04-18T00:00:00"/>
    <d v="2026-04-10T00:00:00"/>
    <s v="Cash withdrawal "/>
    <n v="3020"/>
    <x v="8"/>
    <m/>
    <n v="50000"/>
  </r>
  <r>
    <d v="2026-04-19T00:00:00"/>
    <d v="2026-04-10T00:00:00"/>
    <s v="RRA Payment charges  "/>
    <n v="6280"/>
    <x v="16"/>
    <n v="1260"/>
    <m/>
  </r>
  <r>
    <d v="2026-04-20T00:00:00"/>
    <d v="2026-04-10T00:00:00"/>
    <s v="RRA Payment charges  "/>
    <n v="3020"/>
    <x v="8"/>
    <m/>
    <n v="1260"/>
  </r>
  <r>
    <d v="2026-04-21T00:00:00"/>
    <d v="2026-04-10T00:00:00"/>
    <s v="bk cheque charges"/>
    <n v="6280"/>
    <x v="16"/>
    <n v="7000"/>
    <m/>
  </r>
  <r>
    <d v="2026-04-22T00:00:00"/>
    <d v="2026-04-10T00:00:00"/>
    <s v="bk cheque charges"/>
    <n v="3020"/>
    <x v="8"/>
    <m/>
    <n v="7000"/>
  </r>
  <r>
    <d v="2026-04-23T00:00:00"/>
    <d v="2026-04-10T00:00:00"/>
    <s v="RRA Payment charges  "/>
    <n v="6280"/>
    <x v="16"/>
    <n v="1260"/>
    <m/>
  </r>
  <r>
    <d v="2026-04-24T00:00:00"/>
    <d v="2026-04-10T00:00:00"/>
    <s v="RRA Payment charges  "/>
    <n v="3020"/>
    <x v="8"/>
    <m/>
    <n v="1260"/>
  </r>
  <r>
    <d v="2026-04-21T00:00:00"/>
    <d v="2026-04-10T00:00:00"/>
    <s v="bk cheque charges"/>
    <n v="6280"/>
    <x v="16"/>
    <n v="7000"/>
    <m/>
  </r>
  <r>
    <d v="2026-04-22T00:00:00"/>
    <d v="2026-04-10T00:00:00"/>
    <s v="bk cheque charges"/>
    <n v="3020"/>
    <x v="8"/>
    <m/>
    <n v="7000"/>
  </r>
  <r>
    <d v="2026-04-23T00:00:00"/>
    <d v="2026-04-10T00:00:00"/>
    <s v="Internal transfer charges"/>
    <n v="6280"/>
    <x v="16"/>
    <n v="500"/>
    <m/>
  </r>
  <r>
    <d v="2026-04-24T00:00:00"/>
    <d v="2026-04-10T00:00:00"/>
    <s v="Internal transfer charges"/>
    <n v="3020"/>
    <x v="8"/>
    <m/>
    <n v="500"/>
  </r>
  <r>
    <d v="2026-04-25T00:00:00"/>
    <d v="2026-04-10T00:00:00"/>
    <s v="Ordinary Share Capital"/>
    <n v="1010"/>
    <x v="9"/>
    <n v="1500000"/>
    <m/>
  </r>
  <r>
    <d v="2026-04-26T00:00:00"/>
    <d v="2026-04-10T00:00:00"/>
    <s v="Ordinary Share Capital"/>
    <n v="1010"/>
    <x v="8"/>
    <m/>
    <n v="1500000"/>
  </r>
  <r>
    <d v="2026-04-27T00:00:00"/>
    <d v="2026-04-13T00:00:00"/>
    <s v="Loan issued to ujeneza"/>
    <n v="3030"/>
    <x v="4"/>
    <n v="42480"/>
    <m/>
  </r>
  <r>
    <d v="2026-04-27T00:00:00"/>
    <d v="2026-04-13T00:00:00"/>
    <s v="Loan issued to ujeneza"/>
    <n v="3110"/>
    <x v="3"/>
    <n v="900000"/>
    <m/>
  </r>
  <r>
    <d v="2026-04-28T00:00:00"/>
    <d v="2026-04-13T00:00:00"/>
    <s v="Loan issued to ujeneza"/>
    <n v="3020"/>
    <x v="8"/>
    <m/>
    <n v="900000"/>
  </r>
  <r>
    <d v="2026-04-29T00:00:00"/>
    <d v="2026-04-13T00:00:00"/>
    <s v="Loan issued to ujeneza"/>
    <n v="7020"/>
    <x v="18"/>
    <m/>
    <n v="36000"/>
  </r>
  <r>
    <d v="2026-04-30T00:00:00"/>
    <d v="2026-04-13T00:00:00"/>
    <s v="Loan issued to ujeneza"/>
    <n v="2530"/>
    <x v="11"/>
    <m/>
    <n v="6480"/>
  </r>
  <r>
    <d v="2026-04-22T00:00:00"/>
    <d v="2026-04-13T00:00:00"/>
    <s v="Internal transfer charges"/>
    <n v="6280"/>
    <x v="16"/>
    <n v="500"/>
    <m/>
  </r>
  <r>
    <d v="2026-04-22T00:00:00"/>
    <d v="2026-04-13T00:00:00"/>
    <s v="Internal transfer charges"/>
    <n v="3020"/>
    <x v="8"/>
    <m/>
    <n v="500"/>
  </r>
  <r>
    <d v="2026-04-22T00:00:00"/>
    <d v="2026-04-13T00:00:00"/>
    <s v="Miscellaneous Expenses"/>
    <n v="6300"/>
    <x v="17"/>
    <n v="30000"/>
    <m/>
  </r>
  <r>
    <s v="April-26"/>
    <s v="13-Apr-26"/>
    <s v="Miscellaneous Expenses"/>
    <n v="6300"/>
    <x v="8"/>
    <m/>
    <n v="30000"/>
  </r>
  <r>
    <d v="2026-04-22T00:00:00"/>
    <d v="2026-04-15T00:00:00"/>
    <s v="Loan repayment made by emmanuel"/>
    <n v="3020"/>
    <x v="8"/>
    <n v="518880"/>
    <m/>
  </r>
  <r>
    <d v="2026-04-22T00:00:00"/>
    <d v="2026-04-15T00:00:00"/>
    <s v="Loan repayment made by emmanuel"/>
    <n v="7010"/>
    <x v="21"/>
    <m/>
    <n v="100000"/>
  </r>
  <r>
    <d v="2026-04-22T00:00:00"/>
    <d v="2026-04-15T00:00:00"/>
    <s v="Loan repayment made by emmanuel"/>
    <n v="3110"/>
    <x v="3"/>
    <m/>
    <n v="418880"/>
  </r>
  <r>
    <d v="2026-04-01T00:00:00"/>
    <d v="2026-04-15T00:00:00"/>
    <s v="Loan issued to clementine"/>
    <n v="3030"/>
    <x v="4"/>
    <n v="47200"/>
    <m/>
  </r>
  <r>
    <d v="2026-04-01T00:00:00"/>
    <d v="2026-04-15T00:00:00"/>
    <s v="Loan issued to clementine"/>
    <n v="3110"/>
    <x v="3"/>
    <n v="1000000"/>
    <m/>
  </r>
  <r>
    <d v="2026-04-02T00:00:00"/>
    <d v="2026-04-15T00:00:00"/>
    <s v="Loan issued to clementine"/>
    <n v="3020"/>
    <x v="8"/>
    <m/>
    <n v="1000000"/>
  </r>
  <r>
    <d v="2026-04-03T00:00:00"/>
    <d v="2026-04-15T00:00:00"/>
    <s v="Loan issued to clementine"/>
    <n v="7020"/>
    <x v="18"/>
    <m/>
    <n v="40000"/>
  </r>
  <r>
    <d v="2026-04-04T00:00:00"/>
    <d v="2026-04-15T00:00:00"/>
    <s v="Loan issued to clementine"/>
    <n v="2530"/>
    <x v="11"/>
    <m/>
    <n v="7200"/>
  </r>
  <r>
    <d v="2026-04-05T00:00:00"/>
    <d v="2026-04-15T00:00:00"/>
    <s v="RRA Payment charges  "/>
    <n v="6280"/>
    <x v="16"/>
    <n v="500"/>
    <m/>
  </r>
  <r>
    <d v="2026-04-06T00:00:00"/>
    <d v="2026-04-15T00:00:00"/>
    <s v="RRA Payment charges  "/>
    <n v="3020"/>
    <x v="8"/>
    <m/>
    <n v="500"/>
  </r>
  <r>
    <d v="2026-04-07T00:00:00"/>
    <d v="2026-04-15T00:00:00"/>
    <s v="Payment of quarterly VAT from january to april"/>
    <n v="2530"/>
    <x v="11"/>
    <n v="41235"/>
    <m/>
  </r>
  <r>
    <d v="2026-04-08T00:00:00"/>
    <d v="2026-04-15T00:00:00"/>
    <s v="Payment of quarterly VAT from january to april"/>
    <n v="3020"/>
    <x v="8"/>
    <m/>
    <n v="41235"/>
  </r>
  <r>
    <d v="2026-04-09T00:00:00"/>
    <d v="2026-04-20T00:00:00"/>
    <s v="RRA Payment charges  "/>
    <n v="6280"/>
    <x v="16"/>
    <n v="90"/>
    <m/>
  </r>
  <r>
    <d v="2026-04-10T00:00:00"/>
    <d v="2026-04-20T00:00:00"/>
    <s v="RRA Payment charges  "/>
    <n v="3020"/>
    <x v="8"/>
    <m/>
    <n v="90"/>
  </r>
  <r>
    <d v="2026-04-11T00:00:00"/>
    <d v="2026-04-20T00:00:00"/>
    <s v="Cash withdrawal charges "/>
    <n v="6280"/>
    <x v="16"/>
    <n v="500"/>
    <m/>
  </r>
  <r>
    <d v="2026-04-12T00:00:00"/>
    <d v="2026-04-20T00:00:00"/>
    <s v="Cash withdrawal charges "/>
    <n v="3020"/>
    <x v="8"/>
    <m/>
    <n v="500"/>
  </r>
  <r>
    <d v="2026-04-13T00:00:00"/>
    <d v="2026-04-20T00:00:00"/>
    <s v="Loan issued  niwagaba james"/>
    <n v="3030"/>
    <x v="4"/>
    <n v="16520"/>
    <m/>
  </r>
  <r>
    <d v="2026-04-13T00:00:00"/>
    <d v="2026-04-20T00:00:00"/>
    <s v="Loan issued  niwagaba james"/>
    <n v="3110"/>
    <x v="3"/>
    <n v="350000"/>
    <m/>
  </r>
  <r>
    <d v="2026-04-14T00:00:00"/>
    <d v="2026-04-20T00:00:00"/>
    <s v="Loan issued  niwagaba james"/>
    <n v="3020"/>
    <x v="8"/>
    <m/>
    <n v="350000"/>
  </r>
  <r>
    <d v="2026-04-15T00:00:00"/>
    <d v="2026-04-20T00:00:00"/>
    <s v="Loan issued  niwagaba james"/>
    <n v="7020"/>
    <x v="18"/>
    <m/>
    <n v="14000"/>
  </r>
  <r>
    <d v="2026-04-16T00:00:00"/>
    <d v="2026-04-20T00:00:00"/>
    <s v="Loan issued  niwagaba james"/>
    <n v="2530"/>
    <x v="11"/>
    <m/>
    <n v="2520"/>
  </r>
  <r>
    <d v="2026-04-17T00:00:00"/>
    <d v="2026-04-21T00:00:00"/>
    <s v="Loan repayment by indere on 20/04/2026"/>
    <n v="3020"/>
    <x v="8"/>
    <n v="45000"/>
    <m/>
  </r>
  <r>
    <d v="2026-04-18T00:00:00"/>
    <d v="2026-04-21T00:00:00"/>
    <s v="Loan repayment by indere on 20/04/2026"/>
    <n v="3030"/>
    <x v="4"/>
    <m/>
    <n v="23600"/>
  </r>
  <r>
    <d v="2026-04-19T00:00:00"/>
    <d v="2026-04-21T00:00:00"/>
    <s v="Loan repayment by indere on 20/04/2026"/>
    <n v="7010"/>
    <x v="21"/>
    <m/>
    <n v="21400"/>
  </r>
  <r>
    <d v="2026-04-21T00:00:00"/>
    <d v="2026-04-22T00:00:00"/>
    <s v="Loan issued to brigitte"/>
    <n v="3030"/>
    <x v="4"/>
    <n v="23600"/>
    <m/>
  </r>
  <r>
    <d v="2026-04-21T00:00:00"/>
    <d v="2026-04-22T00:00:00"/>
    <s v="Loan issued to brigitte"/>
    <n v="3110"/>
    <x v="3"/>
    <n v="500000"/>
    <m/>
  </r>
  <r>
    <d v="2026-04-22T00:00:00"/>
    <d v="2026-04-22T00:00:00"/>
    <s v="Loan issued to brigitte"/>
    <n v="3020"/>
    <x v="8"/>
    <m/>
    <n v="500000"/>
  </r>
  <r>
    <d v="2026-04-23T00:00:00"/>
    <d v="2026-04-22T00:00:00"/>
    <s v="Loan issued to brigitte"/>
    <n v="7020"/>
    <x v="18"/>
    <m/>
    <n v="20000"/>
  </r>
  <r>
    <d v="2026-04-24T00:00:00"/>
    <d v="2026-04-22T00:00:00"/>
    <s v="Loan issued to brigitte"/>
    <n v="2530"/>
    <x v="11"/>
    <m/>
    <n v="3600"/>
  </r>
  <r>
    <d v="2026-04-25T00:00:00"/>
    <d v="2026-04-24T00:00:00"/>
    <s v="Loan repayment made by kami"/>
    <n v="3020"/>
    <x v="8"/>
    <n v="300000"/>
    <m/>
  </r>
  <r>
    <d v="2026-04-26T00:00:00"/>
    <d v="2026-04-24T00:00:00"/>
    <s v="Loan repayment made by kami"/>
    <n v="3110"/>
    <x v="3"/>
    <m/>
    <n v="300000"/>
  </r>
  <r>
    <d v="2026-04-27T00:00:00"/>
    <d v="2026-04-24T00:00:00"/>
    <s v="Cheque payment charges "/>
    <n v="6280"/>
    <x v="16"/>
    <n v="1000"/>
    <m/>
  </r>
  <r>
    <d v="2026-04-28T00:00:00"/>
    <d v="2026-04-24T00:00:00"/>
    <s v="Cheque payment charges "/>
    <n v="3020"/>
    <x v="8"/>
    <m/>
    <n v="1000"/>
  </r>
  <r>
    <d v="2026-04-29T00:00:00"/>
    <d v="2026-04-24T00:00:00"/>
    <s v="Loan issued  fabien"/>
    <n v="3030"/>
    <x v="4"/>
    <n v="283200"/>
    <m/>
  </r>
  <r>
    <d v="2026-04-29T00:00:00"/>
    <d v="2026-04-24T00:00:00"/>
    <s v="Loan issued  fabien"/>
    <n v="3110"/>
    <x v="3"/>
    <n v="6000000"/>
    <m/>
  </r>
  <r>
    <d v="2026-04-30T00:00:00"/>
    <d v="2026-04-24T00:00:00"/>
    <s v="Loan issued  fabien"/>
    <n v="3020"/>
    <x v="8"/>
    <m/>
    <n v="6000000"/>
  </r>
  <r>
    <d v="2026-04-01T00:00:00"/>
    <d v="2026-04-24T00:00:00"/>
    <s v="Loan issued  fabien"/>
    <n v="7020"/>
    <x v="18"/>
    <m/>
    <n v="240000"/>
  </r>
  <r>
    <d v="2026-04-02T00:00:00"/>
    <d v="2026-04-24T00:00:00"/>
    <s v="Loan issued  fabien"/>
    <n v="2530"/>
    <x v="11"/>
    <m/>
    <n v="43200"/>
  </r>
  <r>
    <d v="2026-04-03T00:00:00"/>
    <d v="2026-04-27T00:00:00"/>
    <s v="Loan repayment made by providence"/>
    <n v="3020"/>
    <x v="8"/>
    <n v="150000"/>
    <m/>
  </r>
  <r>
    <d v="2026-04-04T00:00:00"/>
    <d v="2026-04-27T00:00:00"/>
    <s v="Loan repayment made by providence"/>
    <n v="3030"/>
    <x v="4"/>
    <m/>
    <n v="50000"/>
  </r>
  <r>
    <d v="2026-04-04T00:00:00"/>
    <d v="2026-04-27T00:00:00"/>
    <s v="Loan repayment made by providence"/>
    <n v="7010"/>
    <x v="21"/>
    <m/>
    <n v="50000"/>
  </r>
  <r>
    <d v="2026-04-04T00:00:00"/>
    <d v="2026-04-27T00:00:00"/>
    <s v="Loan repayment made by providence"/>
    <n v="3110"/>
    <x v="3"/>
    <m/>
    <n v="50000"/>
  </r>
  <r>
    <d v="2026-04-05T00:00:00"/>
    <d v="2026-04-27T00:00:00"/>
    <s v="Loan repayment by clementine"/>
    <n v="3020"/>
    <x v="8"/>
    <n v="1097200"/>
    <m/>
  </r>
  <r>
    <d v="2026-04-06T00:00:00"/>
    <d v="2026-04-27T00:00:00"/>
    <s v="Loan repayment by clementine"/>
    <n v="3030"/>
    <x v="4"/>
    <m/>
    <n v="47200"/>
  </r>
  <r>
    <d v="2026-04-07T00:00:00"/>
    <d v="2026-04-27T00:00:00"/>
    <s v="Loan repayment by clementine"/>
    <n v="7010"/>
    <x v="21"/>
    <m/>
    <n v="50000"/>
  </r>
  <r>
    <d v="2026-04-08T00:00:00"/>
    <d v="2026-04-27T00:00:00"/>
    <s v="Loan repayment by clementine"/>
    <n v="3110"/>
    <x v="3"/>
    <m/>
    <n v="1000000"/>
  </r>
  <r>
    <d v="2026-04-09T00:00:00"/>
    <d v="2026-04-28T00:00:00"/>
    <s v="Loan issued to marie"/>
    <n v="3030"/>
    <x v="4"/>
    <n v="47200"/>
    <m/>
  </r>
  <r>
    <d v="2026-04-09T00:00:00"/>
    <d v="2026-04-28T00:00:00"/>
    <s v="Loan issued to marie"/>
    <n v="3110"/>
    <x v="3"/>
    <n v="1000000"/>
    <m/>
  </r>
  <r>
    <d v="2026-04-10T00:00:00"/>
    <d v="2026-04-28T00:00:00"/>
    <s v="Loan issued to marie"/>
    <n v="3020"/>
    <x v="8"/>
    <m/>
    <n v="1000000"/>
  </r>
  <r>
    <d v="2026-04-11T00:00:00"/>
    <d v="2026-04-28T00:00:00"/>
    <s v="Loan issued to marie"/>
    <n v="7020"/>
    <x v="18"/>
    <m/>
    <n v="40000"/>
  </r>
  <r>
    <d v="2026-04-12T00:00:00"/>
    <d v="2026-04-28T00:00:00"/>
    <s v="Loan issued to marie"/>
    <n v="2530"/>
    <x v="11"/>
    <m/>
    <n v="7200"/>
  </r>
  <r>
    <d v="2026-04-13T00:00:00"/>
    <d v="2026-04-28T00:00:00"/>
    <s v="Loan repayment made by kami"/>
    <n v="3020"/>
    <x v="8"/>
    <n v="73600"/>
    <m/>
  </r>
  <r>
    <d v="2026-04-14T00:00:00"/>
    <d v="2026-04-28T00:00:00"/>
    <s v="Loan repayment made by kami"/>
    <n v="7010"/>
    <x v="21"/>
    <m/>
    <n v="25000"/>
  </r>
  <r>
    <d v="2026-04-14T00:00:00"/>
    <d v="2026-04-28T00:00:00"/>
    <s v="Loan repayment made by kami"/>
    <n v="3110"/>
    <x v="3"/>
    <m/>
    <n v="48600"/>
  </r>
  <r>
    <d v="2026-04-15T00:00:00"/>
    <d v="2026-04-28T00:00:00"/>
    <s v="Internal transfer charges"/>
    <n v="6280"/>
    <x v="16"/>
    <n v="500"/>
    <m/>
  </r>
  <r>
    <d v="2026-04-16T00:00:00"/>
    <d v="2026-04-28T00:00:00"/>
    <s v="Internal transfer charges"/>
    <n v="3020"/>
    <x v="8"/>
    <m/>
    <n v="500"/>
  </r>
  <r>
    <m/>
    <d v="2026-04-28T00:00:00"/>
    <s v="Salary and wages for April 2026"/>
    <n v="6110"/>
    <x v="22"/>
    <n v="541501"/>
    <m/>
  </r>
  <r>
    <m/>
    <d v="2026-04-28T00:00:00"/>
    <s v="Salary and wages for April 2026"/>
    <n v="2540"/>
    <x v="12"/>
    <m/>
    <n v="114000"/>
  </r>
  <r>
    <m/>
    <d v="2026-04-28T00:00:00"/>
    <s v="Salary and wages for April 2026"/>
    <n v="2550"/>
    <x v="13"/>
    <m/>
    <n v="3000"/>
  </r>
  <r>
    <m/>
    <d v="2026-04-28T00:00:00"/>
    <s v="Salary and wages for April 2026"/>
    <n v="2560"/>
    <x v="14"/>
    <m/>
    <n v="70000"/>
  </r>
  <r>
    <m/>
    <d v="2026-04-28T00:00:00"/>
    <s v="Salary and wages for April 2026"/>
    <n v="2570"/>
    <x v="15"/>
    <m/>
    <n v="1773"/>
  </r>
  <r>
    <m/>
    <d v="2026-04-28T00:00:00"/>
    <s v="Salary and wages for April 2026"/>
    <n v="2580"/>
    <x v="23"/>
    <m/>
    <n v="352728"/>
  </r>
  <r>
    <d v="2026-04-17T00:00:00"/>
    <d v="2026-04-28T00:00:00"/>
    <s v="Payment of Salary and wages for april2026"/>
    <n v="2580"/>
    <x v="23"/>
    <n v="352728"/>
    <m/>
  </r>
  <r>
    <d v="2026-04-18T00:00:00"/>
    <d v="2026-04-28T00:00:00"/>
    <s v="Payment of Salary and wages for april 2026"/>
    <n v="3020"/>
    <x v="8"/>
    <m/>
    <n v="352728"/>
  </r>
  <r>
    <d v="2026-04-19T00:00:00"/>
    <d v="2026-04-30T00:00:00"/>
    <s v="Account maintenance fees "/>
    <n v="6280"/>
    <x v="16"/>
    <n v="2000"/>
    <m/>
  </r>
  <r>
    <d v="2026-04-20T00:00:00"/>
    <d v="2026-04-30T00:00:00"/>
    <s v="Account maintenance fees "/>
    <n v="3020"/>
    <x v="8"/>
    <m/>
    <n v="2000"/>
  </r>
  <r>
    <d v="2026-05-01T00:00:00"/>
    <d v="2026-05-04T00:00:00"/>
    <s v="Loan repayment made by  francine"/>
    <n v="3020"/>
    <x v="8"/>
    <n v="175000"/>
    <m/>
  </r>
  <r>
    <d v="2026-05-02T00:00:00"/>
    <d v="2026-05-04T00:00:00"/>
    <s v="Loan repayment made by  francine"/>
    <n v="7010"/>
    <x v="21"/>
    <m/>
    <n v="175000"/>
  </r>
  <r>
    <d v="2026-05-02T00:00:00"/>
    <d v="2026-05-05T00:00:00"/>
    <s v="Loan repayment by Abayisenga claude on 19/02/2026"/>
    <n v="3020"/>
    <x v="8"/>
    <n v="548600"/>
    <m/>
  </r>
  <r>
    <d v="2026-05-02T00:00:00"/>
    <d v="2026-05-05T00:00:00"/>
    <s v="Loan repayment by Abayisenga claude on 19/02/2026"/>
    <n v="3030"/>
    <x v="4"/>
    <m/>
    <n v="23600"/>
  </r>
  <r>
    <d v="2026-05-02T00:00:00"/>
    <d v="2026-05-05T00:00:00"/>
    <s v="Loan repayment by Abayisenga claude on 19/02/2026"/>
    <n v="7010"/>
    <x v="21"/>
    <m/>
    <n v="25000"/>
  </r>
  <r>
    <d v="2026-05-02T00:00:00"/>
    <d v="2026-05-05T00:00:00"/>
    <s v="Loan repayment by Abayisenga claude on 19/02/2026"/>
    <n v="3110"/>
    <x v="3"/>
    <m/>
    <n v="500000"/>
  </r>
  <r>
    <d v="2026-05-02T00:00:00"/>
    <d v="2026-05-06T00:00:00"/>
    <s v="Cheque payment charges "/>
    <n v="6280"/>
    <x v="16"/>
    <n v="1000"/>
    <m/>
  </r>
  <r>
    <d v="2026-05-02T00:00:00"/>
    <d v="2026-05-06T00:00:00"/>
    <s v="Cheque payment charges "/>
    <n v="3020"/>
    <x v="8"/>
    <m/>
    <n v="1000"/>
  </r>
  <r>
    <d v="2026-05-02T00:00:00"/>
    <d v="2026-05-06T00:00:00"/>
    <s v="Prepaid rent for june  2026"/>
    <n v="3050"/>
    <x v="19"/>
    <n v="211864"/>
    <m/>
  </r>
  <r>
    <d v="2026-05-02T00:00:00"/>
    <d v="2026-05-06T00:00:00"/>
    <s v="Rent expense for may 2026"/>
    <n v="6210"/>
    <x v="20"/>
    <n v="211865"/>
    <m/>
  </r>
  <r>
    <d v="2026-05-02T00:00:00"/>
    <d v="2026-05-06T00:00:00"/>
    <s v="Recognition of rent payment made for may &amp; june"/>
    <n v="2530"/>
    <x v="11"/>
    <n v="76271"/>
    <m/>
  </r>
  <r>
    <d v="2026-05-02T00:00:00"/>
    <d v="2026-05-06T00:00:00"/>
    <s v="Recognition of rent payment made for may &amp; june"/>
    <n v="3020"/>
    <x v="8"/>
    <m/>
    <n v="500000"/>
  </r>
  <r>
    <d v="2026-05-03T00:00:00"/>
    <d v="2026-05-06T00:00:00"/>
    <s v="Loan issued to Alice"/>
    <n v="3030"/>
    <x v="4"/>
    <n v="47200"/>
    <m/>
  </r>
  <r>
    <d v="2026-05-03T00:00:00"/>
    <d v="2026-05-06T00:00:00"/>
    <s v="Loan issued to Alice"/>
    <n v="3110"/>
    <x v="3"/>
    <n v="1000000"/>
    <m/>
  </r>
  <r>
    <d v="2026-05-04T00:00:00"/>
    <d v="2026-05-06T00:00:00"/>
    <s v="Loan issued to Alice"/>
    <n v="3020"/>
    <x v="8"/>
    <m/>
    <n v="1000000"/>
  </r>
  <r>
    <d v="2026-05-05T00:00:00"/>
    <d v="2026-05-06T00:00:00"/>
    <s v="Loan issued to Alice"/>
    <n v="7020"/>
    <x v="18"/>
    <m/>
    <n v="40000"/>
  </r>
  <r>
    <d v="2026-05-06T00:00:00"/>
    <d v="2026-05-06T00:00:00"/>
    <s v="Loan issued to Alice"/>
    <n v="2530"/>
    <x v="11"/>
    <m/>
    <n v="7200"/>
  </r>
  <r>
    <d v="2026-05-07T00:00:00"/>
    <d v="2026-05-06T00:00:00"/>
    <s v="Maternity contribution payment for may   2026"/>
    <n v="2550"/>
    <x v="13"/>
    <n v="3000"/>
    <m/>
  </r>
  <r>
    <d v="2026-05-08T00:00:00"/>
    <d v="2026-05-06T00:00:00"/>
    <s v="Maternity contribution payment for may   2026"/>
    <n v="3020"/>
    <x v="8"/>
    <m/>
    <n v="3000"/>
  </r>
  <r>
    <d v="2026-05-09T00:00:00"/>
    <d v="2026-05-06T00:00:00"/>
    <s v="Pension Payment for may 2026"/>
    <n v="2560"/>
    <x v="14"/>
    <n v="70000"/>
    <m/>
  </r>
  <r>
    <d v="2026-05-10T00:00:00"/>
    <d v="2026-05-06T00:00:00"/>
    <s v="Pension Payment for may 2026"/>
    <n v="3020"/>
    <x v="8"/>
    <m/>
    <n v="70000"/>
  </r>
  <r>
    <d v="2026-05-11T00:00:00"/>
    <d v="2026-05-06T00:00:00"/>
    <s v="CBHI Payment for may 2026"/>
    <n v="2570"/>
    <x v="15"/>
    <n v="1773"/>
    <m/>
  </r>
  <r>
    <d v="2026-05-12T00:00:00"/>
    <d v="2026-05-06T00:00:00"/>
    <s v="CBHI Payment for may 2026"/>
    <n v="3020"/>
    <x v="8"/>
    <m/>
    <n v="1773"/>
  </r>
  <r>
    <d v="2026-05-13T00:00:00"/>
    <d v="2026-05-06T00:00:00"/>
    <s v="RRA Payment charges  "/>
    <n v="6280"/>
    <x v="16"/>
    <n v="500"/>
    <m/>
  </r>
  <r>
    <d v="2026-05-14T00:00:00"/>
    <d v="2026-05-06T00:00:00"/>
    <s v="RRA Payment charges  "/>
    <n v="3020"/>
    <x v="8"/>
    <m/>
    <n v="500"/>
  </r>
  <r>
    <d v="2026-05-15T00:00:00"/>
    <d v="2026-05-06T00:00:00"/>
    <s v="PAYE Payment for may 2026"/>
    <n v="2540"/>
    <x v="12"/>
    <n v="114000"/>
    <m/>
  </r>
  <r>
    <d v="2026-05-16T00:00:00"/>
    <d v="2026-05-06T00:00:00"/>
    <s v="PAYE Payment for may 2026"/>
    <n v="3020"/>
    <x v="8"/>
    <m/>
    <n v="114000"/>
  </r>
  <r>
    <d v="2026-05-17T00:00:00"/>
    <d v="2026-05-06T00:00:00"/>
    <s v="RRA Payment charges  "/>
    <n v="6280"/>
    <x v="16"/>
    <n v="90"/>
    <m/>
  </r>
  <r>
    <d v="2026-05-18T00:00:00"/>
    <d v="2026-05-06T00:00:00"/>
    <s v="RRA Payment charges  "/>
    <n v="3020"/>
    <x v="8"/>
    <m/>
    <n v="90"/>
  </r>
  <r>
    <d v="2026-05-19T00:00:00"/>
    <d v="2026-05-06T00:00:00"/>
    <s v="Cash withdrawal charges "/>
    <n v="6280"/>
    <x v="16"/>
    <n v="500"/>
    <m/>
  </r>
  <r>
    <d v="2026-05-20T00:00:00"/>
    <d v="2026-05-06T00:00:00"/>
    <s v="Cash withdrawal charges "/>
    <n v="3020"/>
    <x v="8"/>
    <m/>
    <n v="500"/>
  </r>
  <r>
    <d v="2026-05-08T00:00:00"/>
    <d v="2026-05-06T00:00:00"/>
    <s v="Cash withdrawal Kubwimana Devotha"/>
    <n v="3010"/>
    <x v="17"/>
    <n v="50000"/>
    <m/>
  </r>
  <r>
    <d v="2026-05-09T00:00:00"/>
    <d v="2026-05-06T00:00:00"/>
    <s v="Cash withdrawal Kubwimana Devotha"/>
    <n v="3020"/>
    <x v="8"/>
    <m/>
    <n v="50000"/>
  </r>
  <r>
    <d v="2026-05-09T00:00:00"/>
    <d v="2026-05-08T00:00:00"/>
    <s v="Loan issued to Kami"/>
    <n v="3030"/>
    <x v="4"/>
    <n v="23600"/>
    <m/>
  </r>
  <r>
    <d v="2026-05-09T00:00:00"/>
    <d v="2026-05-08T00:00:00"/>
    <s v="Loan issued to Kami"/>
    <n v="3110"/>
    <x v="3"/>
    <n v="500000"/>
    <m/>
  </r>
  <r>
    <d v="2026-05-09T00:00:00"/>
    <d v="2026-05-08T00:00:00"/>
    <s v="Loan issued to Kami"/>
    <n v="3020"/>
    <x v="8"/>
    <m/>
    <n v="500000"/>
  </r>
  <r>
    <d v="2026-05-09T00:00:00"/>
    <d v="2026-05-08T00:00:00"/>
    <s v="Loan issued to Kami"/>
    <n v="7020"/>
    <x v="18"/>
    <m/>
    <n v="20000"/>
  </r>
  <r>
    <d v="2026-05-09T00:00:00"/>
    <d v="2026-05-08T00:00:00"/>
    <s v="Loan issued to Kami"/>
    <n v="2530"/>
    <x v="11"/>
    <m/>
    <n v="3600"/>
  </r>
  <r>
    <d v="2026-05-10T00:00:00"/>
    <d v="2026-05-15T00:00:00"/>
    <s v="Loan repayment- edouard ndayambaje"/>
    <n v="3020"/>
    <x v="8"/>
    <n v="1835520"/>
    <m/>
  </r>
  <r>
    <d v="2026-05-11T00:00:00"/>
    <d v="2026-05-15T00:00:00"/>
    <s v="Loan repayment- edouard ndayambaje"/>
    <n v="3110"/>
    <x v="3"/>
    <m/>
    <n v="1600000"/>
  </r>
  <r>
    <d v="2026-05-12T00:00:00"/>
    <d v="2026-05-15T00:00:00"/>
    <s v="Loan repayment- edouard ndayambaje"/>
    <n v="3030"/>
    <x v="4"/>
    <m/>
    <n v="75520"/>
  </r>
  <r>
    <d v="2026-05-13T00:00:00"/>
    <d v="2026-05-15T00:00:00"/>
    <s v="Loan repayment- edouard ndayambaje"/>
    <n v="7010"/>
    <x v="21"/>
    <m/>
    <n v="160000"/>
  </r>
  <r>
    <d v="2026-05-19T00:00:00"/>
    <d v="2026-05-18T00:00:00"/>
    <s v="Internal transfer charges"/>
    <n v="6280"/>
    <x v="16"/>
    <n v="500"/>
    <m/>
  </r>
  <r>
    <d v="2026-05-20T00:00:00"/>
    <d v="2026-05-18T00:00:00"/>
    <s v="Internal transfer charges"/>
    <n v="3020"/>
    <x v="8"/>
    <m/>
    <n v="500"/>
  </r>
  <r>
    <d v="2026-05-20T00:00:00"/>
    <d v="2026-05-18T00:00:00"/>
    <s v="Ordinary Share Capital"/>
    <n v="2030"/>
    <x v="9"/>
    <n v="1250000"/>
    <m/>
  </r>
  <r>
    <d v="2026-05-20T00:00:00"/>
    <d v="2026-05-18T00:00:00"/>
    <s v="Ordinary Share Capital"/>
    <n v="3020"/>
    <x v="8"/>
    <m/>
    <n v="1250000"/>
  </r>
  <r>
    <d v="2026-05-21T00:00:00"/>
    <d v="2026-05-18T00:00:00"/>
    <s v="Loan repayment by Deborah on 18/05/2026"/>
    <n v="3020"/>
    <x v="8"/>
    <n v="987480"/>
    <m/>
  </r>
  <r>
    <d v="2026-05-22T00:00:00"/>
    <d v="2026-05-18T00:00:00"/>
    <s v="Loan repayment by Deborah on 18/05/2027"/>
    <n v="3030"/>
    <x v="4"/>
    <m/>
    <n v="42480"/>
  </r>
  <r>
    <d v="2026-05-23T00:00:00"/>
    <d v="2026-05-18T00:00:00"/>
    <s v="Loan repayment by Deborah on 18/05/2028"/>
    <n v="7010"/>
    <x v="21"/>
    <m/>
    <n v="45000"/>
  </r>
  <r>
    <d v="2026-05-24T00:00:00"/>
    <d v="2026-05-18T00:00:00"/>
    <s v="Loan repayment by Deborah on 18/05/2029"/>
    <n v="3110"/>
    <x v="3"/>
    <m/>
    <n v="900000"/>
  </r>
  <r>
    <d v="2026-05-25T00:00:00"/>
    <d v="2026-05-21T00:00:00"/>
    <s v="Loan repayment made by emmanuel"/>
    <n v="3020"/>
    <x v="8"/>
    <n v="518880"/>
    <m/>
  </r>
  <r>
    <d v="2026-05-26T00:00:00"/>
    <d v="2026-05-21T00:00:00"/>
    <s v="Loan repayment made by emmanuel"/>
    <n v="7010"/>
    <x v="21"/>
    <m/>
    <n v="100000"/>
  </r>
  <r>
    <d v="2026-05-26T00:00:00"/>
    <d v="2026-05-21T00:00:00"/>
    <s v="Loan repayment made by emmanuel"/>
    <n v="3110"/>
    <x v="3"/>
    <m/>
    <n v="418880"/>
  </r>
  <r>
    <d v="2026-05-27T00:00:00"/>
    <d v="2026-05-22T00:00:00"/>
    <s v="Loan issued to Jean claude"/>
    <n v="3030"/>
    <x v="4"/>
    <n v="23600"/>
    <m/>
  </r>
  <r>
    <d v="2026-05-28T00:00:00"/>
    <d v="2026-05-22T00:00:00"/>
    <s v="Loan issued to Jean claude"/>
    <n v="3110"/>
    <x v="3"/>
    <n v="500000"/>
    <m/>
  </r>
  <r>
    <d v="2026-05-29T00:00:00"/>
    <d v="2026-05-22T00:00:00"/>
    <s v="Loan issued to Jean claude"/>
    <n v="3020"/>
    <x v="8"/>
    <m/>
    <n v="500000"/>
  </r>
  <r>
    <d v="2026-05-30T00:00:00"/>
    <d v="2026-05-22T00:00:00"/>
    <s v="Loan issued to Jean claude"/>
    <n v="7020"/>
    <x v="18"/>
    <m/>
    <n v="20000"/>
  </r>
  <r>
    <d v="2026-05-31T00:00:00"/>
    <d v="2026-05-22T00:00:00"/>
    <s v="Loan issued to Jean claude"/>
    <n v="2530"/>
    <x v="11"/>
    <m/>
    <n v="3600"/>
  </r>
  <r>
    <d v="2026-05-01T00:00:00"/>
    <d v="2026-05-23T00:00:00"/>
    <s v="Loan repayment by alice "/>
    <n v="3020"/>
    <x v="8"/>
    <n v="50000"/>
    <m/>
  </r>
  <r>
    <d v="2026-05-02T00:00:00"/>
    <d v="2026-05-23T00:00:00"/>
    <s v="Loan repayment by alice "/>
    <n v="3030"/>
    <x v="4"/>
    <m/>
    <n v="47200"/>
  </r>
  <r>
    <d v="2026-05-03T00:00:00"/>
    <d v="2026-05-23T00:00:00"/>
    <s v="Loan repayment by alice "/>
    <n v="7010"/>
    <x v="21"/>
    <m/>
    <n v="2800"/>
  </r>
  <r>
    <d v="2026-05-05T00:00:00"/>
    <d v="2026-05-26T00:00:00"/>
    <s v="Loan repayment by james"/>
    <n v="3020"/>
    <x v="8"/>
    <n v="78587"/>
    <m/>
  </r>
  <r>
    <d v="2026-05-06T00:00:00"/>
    <d v="2026-05-26T00:00:00"/>
    <s v="Loan repayment by james"/>
    <n v="3030"/>
    <x v="4"/>
    <m/>
    <n v="16520"/>
  </r>
  <r>
    <d v="2026-05-07T00:00:00"/>
    <d v="2026-05-26T00:00:00"/>
    <s v="Loan repayment by james"/>
    <n v="7010"/>
    <x v="21"/>
    <m/>
    <n v="17500"/>
  </r>
  <r>
    <d v="2026-05-08T00:00:00"/>
    <d v="2026-05-26T00:00:00"/>
    <s v="Loan repayment by james"/>
    <n v="3110"/>
    <x v="3"/>
    <m/>
    <n v="44567"/>
  </r>
  <r>
    <d v="2026-05-09T00:00:00"/>
    <d v="2026-05-27T00:00:00"/>
    <s v="Loan repayment made by providence"/>
    <n v="3020"/>
    <x v="8"/>
    <n v="50000"/>
    <m/>
  </r>
  <r>
    <d v="2026-05-10T00:00:00"/>
    <d v="2026-05-27T00:00:00"/>
    <s v="Loan repayment made by providence"/>
    <n v="7010"/>
    <x v="21"/>
    <m/>
    <n v="50000"/>
  </r>
  <r>
    <d v="2026-05-11T00:00:00"/>
    <d v="2026-05-28T00:00:00"/>
    <s v="Loan repayment made by indere"/>
    <n v="3020"/>
    <x v="8"/>
    <n v="25000"/>
    <m/>
  </r>
  <r>
    <d v="2026-05-12T00:00:00"/>
    <d v="2026-05-28T00:00:00"/>
    <s v="Loan repayment made by indere"/>
    <n v="7010"/>
    <x v="21"/>
    <m/>
    <n v="25000"/>
  </r>
  <r>
    <d v="2026-05-13T00:00:00"/>
    <d v="2026-05-28T00:00:00"/>
    <s v="Internal transfer charges"/>
    <n v="6280"/>
    <x v="16"/>
    <n v="500"/>
    <m/>
  </r>
  <r>
    <d v="2026-05-14T00:00:00"/>
    <d v="2026-05-28T00:00:00"/>
    <s v="Internal transfer charges"/>
    <n v="3020"/>
    <x v="8"/>
    <m/>
    <n v="500"/>
  </r>
  <r>
    <d v="2026-05-15T00:00:00"/>
    <d v="2026-05-28T00:00:00"/>
    <s v="Salary and wages for may 2026"/>
    <n v="6110"/>
    <x v="22"/>
    <n v="541501"/>
    <m/>
  </r>
  <r>
    <d v="2026-05-16T00:00:00"/>
    <d v="2026-05-28T00:00:00"/>
    <s v="Salary and wages for may 2026"/>
    <n v="2540"/>
    <x v="12"/>
    <m/>
    <n v="114000"/>
  </r>
  <r>
    <d v="2026-05-17T00:00:00"/>
    <d v="2026-05-28T00:00:00"/>
    <s v="Salary and wages for may 2026"/>
    <n v="2550"/>
    <x v="13"/>
    <m/>
    <n v="3000"/>
  </r>
  <r>
    <d v="2026-05-18T00:00:00"/>
    <d v="2026-05-28T00:00:00"/>
    <s v="Salary and wages for may 2026"/>
    <n v="2560"/>
    <x v="14"/>
    <m/>
    <n v="70000"/>
  </r>
  <r>
    <d v="2026-05-19T00:00:00"/>
    <d v="2026-05-28T00:00:00"/>
    <s v="Salary and wages for may 2026"/>
    <n v="2570"/>
    <x v="15"/>
    <m/>
    <n v="1773"/>
  </r>
  <r>
    <d v="2026-05-20T00:00:00"/>
    <d v="2026-05-28T00:00:00"/>
    <s v="Salary and wages for may 2026"/>
    <n v="2580"/>
    <x v="23"/>
    <m/>
    <n v="352728"/>
  </r>
  <r>
    <d v="2026-05-21T00:00:00"/>
    <d v="2026-05-28T00:00:00"/>
    <s v="Payment of salary"/>
    <n v="2580"/>
    <x v="23"/>
    <n v="352728"/>
    <m/>
  </r>
  <r>
    <d v="2026-05-21T00:00:00"/>
    <d v="2026-05-28T00:00:00"/>
    <s v="Payment of salary"/>
    <n v="3020"/>
    <x v="8"/>
    <m/>
    <n v="352728"/>
  </r>
  <r>
    <d v="2026-05-21T00:00:00"/>
    <d v="2026-05-28T00:00:00"/>
    <s v="Loan repayment by fabien on 28/05/2026"/>
    <n v="3020"/>
    <x v="8"/>
    <n v="580000"/>
    <m/>
  </r>
  <r>
    <d v="2026-05-22T00:00:00"/>
    <d v="2026-05-28T00:00:00"/>
    <s v="Loan repayment by fabien on 28/05/2027"/>
    <n v="3030"/>
    <x v="4"/>
    <m/>
    <n v="283200"/>
  </r>
  <r>
    <d v="2026-05-23T00:00:00"/>
    <d v="2026-05-28T00:00:00"/>
    <s v="Loan repayment by fabien on 28/05/2028"/>
    <n v="7010"/>
    <x v="21"/>
    <m/>
    <n v="296800"/>
  </r>
  <r>
    <d v="2026-05-21T00:00:00"/>
    <d v="2026-05-29T00:00:00"/>
    <s v="loan repayment by brigitte"/>
    <n v="3020"/>
    <x v="8"/>
    <n v="112627"/>
    <m/>
  </r>
  <r>
    <d v="2026-05-22T00:00:00"/>
    <d v="2026-05-29T00:00:00"/>
    <s v="loan repayment by brigitte"/>
    <n v="3030"/>
    <x v="4"/>
    <m/>
    <n v="23600"/>
  </r>
  <r>
    <d v="2026-05-23T00:00:00"/>
    <d v="2026-05-29T00:00:00"/>
    <s v="loan repayment by brigitte"/>
    <n v="7010"/>
    <x v="21"/>
    <m/>
    <n v="25000"/>
  </r>
  <r>
    <d v="2026-05-24T00:00:00"/>
    <d v="2026-05-29T00:00:00"/>
    <s v="loan repayment by brigitte"/>
    <n v="3110"/>
    <x v="3"/>
    <m/>
    <n v="64027"/>
  </r>
  <r>
    <d v="2026-05-25T00:00:00"/>
    <d v="2026-05-31T00:00:00"/>
    <s v="Account maintenance fees "/>
    <n v="6280"/>
    <x v="16"/>
    <n v="2000"/>
    <m/>
  </r>
  <r>
    <d v="2026-05-26T00:00:00"/>
    <d v="2026-05-31T00:00:00"/>
    <s v="Account maintenance fees "/>
    <n v="3020"/>
    <x v="8"/>
    <m/>
    <n v="2000"/>
  </r>
  <r>
    <d v="2026-06-01T00:00:00"/>
    <d v="2026-06-02T00:00:00"/>
    <s v="Loan repayment by stella"/>
    <n v="3020"/>
    <x v="8"/>
    <n v="623600"/>
    <m/>
  </r>
  <r>
    <d v="2026-06-01T00:00:00"/>
    <d v="2026-06-02T00:00:00"/>
    <s v="Loan repayment by stella"/>
    <n v="3030"/>
    <x v="4"/>
    <m/>
    <n v="23600"/>
  </r>
  <r>
    <d v="2026-06-01T00:00:00"/>
    <d v="2026-06-02T00:00:00"/>
    <s v="Loan repayment by stella"/>
    <n v="7010"/>
    <x v="21"/>
    <m/>
    <n v="100000"/>
  </r>
  <r>
    <d v="2026-06-01T00:00:00"/>
    <d v="2026-06-02T00:00:00"/>
    <s v="Loan repayment by stella"/>
    <n v="3110"/>
    <x v="3"/>
    <m/>
    <n v="500000"/>
  </r>
  <r>
    <d v="2026-06-02T00:00:00"/>
    <d v="2026-06-05T00:00:00"/>
    <s v="Loan repayment made by  francine"/>
    <n v="3020"/>
    <x v="8"/>
    <n v="175000"/>
    <m/>
  </r>
  <r>
    <d v="2026-06-03T00:00:00"/>
    <d v="2026-06-05T00:00:00"/>
    <s v="Loan repayment made by  francine"/>
    <n v="7010"/>
    <x v="21"/>
    <m/>
    <n v="175000"/>
  </r>
  <r>
    <d v="2026-06-01T00:00:00"/>
    <d v="2026-06-05T00:00:00"/>
    <s v="Loan issued to Aline"/>
    <n v="3030"/>
    <x v="4"/>
    <n v="70800"/>
    <m/>
  </r>
  <r>
    <d v="2026-06-02T00:00:00"/>
    <d v="2026-06-05T00:00:00"/>
    <s v="Loan issued to Aline"/>
    <n v="3110"/>
    <x v="3"/>
    <n v="1500000"/>
    <m/>
  </r>
  <r>
    <d v="2026-06-03T00:00:00"/>
    <d v="2026-06-05T00:00:00"/>
    <s v="Loan issued to Aline"/>
    <n v="3020"/>
    <x v="8"/>
    <m/>
    <n v="1500000"/>
  </r>
  <r>
    <d v="2026-06-04T00:00:00"/>
    <d v="2026-06-05T00:00:00"/>
    <s v="Loan issued to Aline"/>
    <n v="7020"/>
    <x v="18"/>
    <m/>
    <n v="60000"/>
  </r>
  <r>
    <d v="2026-06-05T00:00:00"/>
    <d v="2026-06-05T00:00:00"/>
    <s v="Loan issued to Aline"/>
    <n v="2530"/>
    <x v="11"/>
    <m/>
    <n v="10800"/>
  </r>
  <r>
    <d v="2026-06-01T00:00:00"/>
    <d v="2026-06-05T00:00:00"/>
    <s v="Loan issued to stella"/>
    <n v="3030"/>
    <x v="4"/>
    <n v="47200"/>
    <m/>
  </r>
  <r>
    <d v="2026-06-02T00:00:00"/>
    <d v="2026-06-05T00:00:00"/>
    <s v="Loan issued to stella"/>
    <n v="3110"/>
    <x v="3"/>
    <n v="1000000"/>
    <m/>
  </r>
  <r>
    <d v="2026-06-03T00:00:00"/>
    <d v="2026-06-05T00:00:00"/>
    <s v="Loan issued to stella"/>
    <n v="3020"/>
    <x v="8"/>
    <m/>
    <n v="1000000"/>
  </r>
  <r>
    <d v="2026-06-04T00:00:00"/>
    <d v="2026-06-05T00:00:00"/>
    <s v="Loan issued to stella"/>
    <n v="7020"/>
    <x v="18"/>
    <m/>
    <n v="40000"/>
  </r>
  <r>
    <d v="2026-06-05T00:00:00"/>
    <d v="2026-06-05T00:00:00"/>
    <s v="Loan issued to stella"/>
    <n v="2530"/>
    <x v="11"/>
    <m/>
    <n v="7200"/>
  </r>
  <r>
    <d v="2026-06-06T00:00:00"/>
    <d v="2026-06-09T00:00:00"/>
    <s v="Maternity contribution payment for june   2026"/>
    <n v="2550"/>
    <x v="13"/>
    <n v="3000"/>
    <m/>
  </r>
  <r>
    <d v="2026-06-07T00:00:00"/>
    <d v="2026-06-09T00:00:00"/>
    <s v="Maternity contribution payment for june   2026"/>
    <n v="3020"/>
    <x v="8"/>
    <m/>
    <n v="3000"/>
  </r>
  <r>
    <d v="2026-06-08T00:00:00"/>
    <d v="2026-06-09T00:00:00"/>
    <s v="RRA Payment charges  "/>
    <n v="6280"/>
    <x v="16"/>
    <n v="500"/>
    <m/>
  </r>
  <r>
    <d v="2026-06-09T00:00:00"/>
    <d v="2026-06-09T00:00:00"/>
    <s v="RRA Payment charges  "/>
    <n v="3020"/>
    <x v="8"/>
    <m/>
    <n v="500"/>
  </r>
  <r>
    <d v="2026-06-10T00:00:00"/>
    <d v="2026-06-09T00:00:00"/>
    <s v="PAYE Payment for june 2026"/>
    <n v="2540"/>
    <x v="12"/>
    <n v="114000"/>
    <m/>
  </r>
  <r>
    <d v="2026-06-11T00:00:00"/>
    <d v="2026-06-09T00:00:00"/>
    <s v="PAYE Payment for june 2026"/>
    <n v="3020"/>
    <x v="8"/>
    <m/>
    <n v="114000"/>
  </r>
  <r>
    <d v="2026-06-12T00:00:00"/>
    <d v="2026-06-09T00:00:00"/>
    <s v="Pension Payment for june 2026"/>
    <n v="2560"/>
    <x v="14"/>
    <n v="70000"/>
    <m/>
  </r>
  <r>
    <d v="2026-06-13T00:00:00"/>
    <d v="2026-06-09T00:00:00"/>
    <s v="Pension Payment for june 2026"/>
    <n v="3020"/>
    <x v="8"/>
    <m/>
    <n v="70000"/>
  </r>
  <r>
    <d v="2026-06-14T00:00:00"/>
    <d v="2026-06-09T00:00:00"/>
    <s v="CBHI Payment for june 2026"/>
    <n v="2570"/>
    <x v="15"/>
    <n v="1773"/>
    <m/>
  </r>
  <r>
    <d v="2026-06-15T00:00:00"/>
    <d v="2026-06-09T00:00:00"/>
    <s v="CBHI Payment for june 2026"/>
    <n v="3020"/>
    <x v="8"/>
    <m/>
    <n v="1773"/>
  </r>
  <r>
    <d v="2026-06-16T00:00:00"/>
    <d v="2026-06-09T00:00:00"/>
    <s v="RRA Payment charges  "/>
    <n v="6280"/>
    <x v="16"/>
    <n v="90"/>
    <m/>
  </r>
  <r>
    <d v="2026-06-17T00:00:00"/>
    <d v="2026-06-09T00:00:00"/>
    <s v="RRA Payment charges  "/>
    <n v="3020"/>
    <x v="8"/>
    <m/>
    <n v="90"/>
  </r>
  <r>
    <d v="2026-06-18T00:00:00"/>
    <d v="2026-06-09T00:00:00"/>
    <s v="Cash withdrawal charges "/>
    <n v="6280"/>
    <x v="16"/>
    <n v="500"/>
    <m/>
  </r>
  <r>
    <d v="2026-06-19T00:00:00"/>
    <d v="2026-06-09T00:00:00"/>
    <s v="Cash withdrawal charges "/>
    <n v="3020"/>
    <x v="8"/>
    <m/>
    <n v="500"/>
  </r>
  <r>
    <d v="2026-06-20T00:00:00"/>
    <d v="2026-06-09T00:00:00"/>
    <s v="Cash withdrawal Kubwimana Devotha"/>
    <n v="3010"/>
    <x v="17"/>
    <n v="50000"/>
    <m/>
  </r>
  <r>
    <d v="2026-06-21T00:00:00"/>
    <d v="2026-06-09T00:00:00"/>
    <s v="Cash withdrawal Kubwimana Devotha"/>
    <n v="3020"/>
    <x v="8"/>
    <m/>
    <n v="50000"/>
  </r>
  <r>
    <d v="2026-06-22T00:00:00"/>
    <d v="2026-06-11T00:00:00"/>
    <s v="RRA Payment charges  "/>
    <n v="6280"/>
    <x v="16"/>
    <n v="90"/>
    <m/>
  </r>
  <r>
    <d v="2026-06-23T00:00:00"/>
    <d v="2026-06-11T00:00:00"/>
    <s v="RRA Payment charges  "/>
    <n v="3020"/>
    <x v="8"/>
    <m/>
    <n v="90"/>
  </r>
  <r>
    <d v="2026-06-24T00:00:00"/>
    <d v="2026-06-11T00:00:00"/>
    <s v="Cash withdrawal charges "/>
    <n v="6280"/>
    <x v="16"/>
    <n v="500"/>
    <m/>
  </r>
  <r>
    <d v="2026-06-25T00:00:00"/>
    <d v="2026-06-11T00:00:00"/>
    <s v="Cash withdrawal charges "/>
    <n v="3020"/>
    <x v="8"/>
    <m/>
    <n v="500"/>
  </r>
  <r>
    <d v="2026-06-26T00:00:00"/>
    <d v="2026-06-11T00:00:00"/>
    <s v="Loan issued to Donald"/>
    <n v="3030"/>
    <x v="4"/>
    <n v="7080"/>
    <m/>
  </r>
  <r>
    <d v="2026-06-27T00:00:00"/>
    <d v="2026-06-11T00:00:00"/>
    <s v="Loan issued to Donald"/>
    <n v="3110"/>
    <x v="3"/>
    <n v="150000"/>
    <m/>
  </r>
  <r>
    <d v="2026-06-28T00:00:00"/>
    <d v="2026-06-11T00:00:00"/>
    <s v="Loan issued to Donald"/>
    <n v="3020"/>
    <x v="8"/>
    <m/>
    <n v="150000"/>
  </r>
  <r>
    <d v="2026-06-29T00:00:00"/>
    <d v="2026-06-11T00:00:00"/>
    <s v="Loan issued to Donald"/>
    <n v="7020"/>
    <x v="18"/>
    <m/>
    <n v="6000"/>
  </r>
  <r>
    <d v="2026-06-30T00:00:00"/>
    <d v="2026-06-11T00:00:00"/>
    <s v="Loan issued to Donald"/>
    <n v="2530"/>
    <x v="11"/>
    <m/>
    <n v="1080"/>
  </r>
  <r>
    <d v="2026-06-01T00:00:00"/>
    <d v="2026-06-24T00:00:00"/>
    <s v="Loan repayment made by emmanuel"/>
    <n v="3020"/>
    <x v="8"/>
    <n v="518880"/>
    <m/>
  </r>
  <r>
    <d v="2026-06-02T00:00:00"/>
    <d v="2026-06-24T00:00:00"/>
    <s v="Loan repayment made by emmanuel"/>
    <n v="7010"/>
    <x v="21"/>
    <m/>
    <n v="100000"/>
  </r>
  <r>
    <d v="2026-06-02T00:00:00"/>
    <d v="2026-06-24T00:00:00"/>
    <s v="Loan repayment made by emmanuel"/>
    <n v="3110"/>
    <x v="3"/>
    <m/>
    <n v="418880"/>
  </r>
  <r>
    <d v="2026-06-05T00:00:00"/>
    <d v="2026-06-24T00:00:00"/>
    <s v="RRA Payment charges  "/>
    <n v="6280"/>
    <x v="16"/>
    <n v="500"/>
    <m/>
  </r>
  <r>
    <d v="2026-06-06T00:00:00"/>
    <d v="2026-06-24T00:00:00"/>
    <s v="RRA Payment charges  "/>
    <n v="3020"/>
    <x v="8"/>
    <m/>
    <n v="500"/>
  </r>
  <r>
    <d v="2026-06-07T00:00:00"/>
    <d v="2026-06-24T00:00:00"/>
    <s v="Payment of 1st quarterly advance CIT from january to april "/>
    <n v="3050"/>
    <x v="19"/>
    <n v="86670"/>
    <m/>
  </r>
  <r>
    <d v="2026-06-08T00:00:00"/>
    <d v="2026-06-24T00:00:00"/>
    <s v="Payment of 1st quarterly advance CIT from january to april "/>
    <n v="3020"/>
    <x v="8"/>
    <m/>
    <n v="86670"/>
  </r>
  <r>
    <d v="2026-06-09T00:00:00"/>
    <d v="2026-06-24T00:00:00"/>
    <s v="Loan repayment made by james"/>
    <n v="3020"/>
    <x v="8"/>
    <n v="78587"/>
    <m/>
  </r>
  <r>
    <d v="2026-06-10T00:00:00"/>
    <d v="2026-06-24T00:00:00"/>
    <s v="Loan repayment made by james"/>
    <n v="7010"/>
    <x v="21"/>
    <m/>
    <n v="17500"/>
  </r>
  <r>
    <d v="2026-06-10T00:00:00"/>
    <d v="2026-06-24T00:00:00"/>
    <s v="Loan repayment made by james"/>
    <n v="3110"/>
    <x v="3"/>
    <m/>
    <n v="61087"/>
  </r>
  <r>
    <d v="2026-06-11T00:00:00"/>
    <d v="2026-06-25T00:00:00"/>
    <s v="Loan repayment by bizimana andre "/>
    <n v="3020"/>
    <x v="8"/>
    <n v="300000"/>
    <m/>
  </r>
  <r>
    <d v="2026-06-12T00:00:00"/>
    <d v="2026-06-25T00:00:00"/>
    <s v="Loan repayment by bizimana andre "/>
    <n v="3030"/>
    <x v="4"/>
    <m/>
    <n v="94400"/>
  </r>
  <r>
    <d v="2026-06-13T00:00:00"/>
    <d v="2026-06-25T00:00:00"/>
    <s v="Loan repayment by bizimana andre "/>
    <n v="7010"/>
    <x v="21"/>
    <m/>
    <n v="200000"/>
  </r>
  <r>
    <d v="2026-06-14T00:00:00"/>
    <d v="2026-06-25T00:00:00"/>
    <s v="Loan repayment by bizimana andre "/>
    <n v="3110"/>
    <x v="3"/>
    <m/>
    <n v="5600"/>
  </r>
  <r>
    <d v="2026-06-15T00:00:00"/>
    <d v="2026-06-26T00:00:00"/>
    <s v="Loan repayment made by  brigitte"/>
    <n v="3020"/>
    <x v="8"/>
    <n v="112267"/>
    <m/>
  </r>
  <r>
    <d v="2026-06-16T00:00:00"/>
    <d v="2026-06-26T00:00:00"/>
    <s v="Loan repayment made by  brigitte"/>
    <n v="7010"/>
    <x v="21"/>
    <m/>
    <n v="25000"/>
  </r>
  <r>
    <d v="2026-06-16T00:00:00"/>
    <d v="2026-06-26T00:00:00"/>
    <s v="Loan repayment made by  brigitte"/>
    <n v="3110"/>
    <x v="3"/>
    <m/>
    <n v="87267"/>
  </r>
  <r>
    <d v="2026-06-17T00:00:00"/>
    <d v="2026-06-27T00:00:00"/>
    <s v="Loan repayment by kami"/>
    <n v="3020"/>
    <x v="8"/>
    <n v="70000"/>
    <m/>
  </r>
  <r>
    <d v="2026-06-18T00:00:00"/>
    <d v="2026-06-27T00:00:00"/>
    <s v="Loan repayment by kami"/>
    <n v="3030"/>
    <x v="4"/>
    <m/>
    <n v="23600"/>
  </r>
  <r>
    <d v="2026-06-19T00:00:00"/>
    <d v="2026-06-27T00:00:00"/>
    <s v="Loan repayment by kami"/>
    <n v="7010"/>
    <x v="21"/>
    <m/>
    <n v="46400"/>
  </r>
  <r>
    <d v="2026-06-21T00:00:00"/>
    <d v="2026-06-28T00:00:00"/>
    <s v="Loan repayment made by  alice"/>
    <n v="3020"/>
    <x v="8"/>
    <n v="50000"/>
    <m/>
  </r>
  <r>
    <d v="2026-06-22T00:00:00"/>
    <d v="2026-06-28T00:00:00"/>
    <s v="Loan repayment made by  alice"/>
    <n v="7010"/>
    <x v="21"/>
    <m/>
    <n v="50000"/>
  </r>
  <r>
    <d v="2026-06-23T00:00:00"/>
    <d v="2026-06-28T00:00:00"/>
    <s v="Loan repayment made by  fabien "/>
    <n v="3020"/>
    <x v="8"/>
    <n v="300000"/>
    <m/>
  </r>
  <r>
    <d v="2026-06-24T00:00:00"/>
    <d v="2026-06-28T00:00:00"/>
    <s v="Loan repayment made by  fabien "/>
    <n v="7010"/>
    <x v="21"/>
    <m/>
    <n v="300000"/>
  </r>
  <r>
    <d v="2026-06-25T00:00:00"/>
    <d v="2026-06-29T00:00:00"/>
    <s v="Loan repayment by aline"/>
    <n v="3020"/>
    <x v="8"/>
    <n v="135000"/>
    <m/>
  </r>
  <r>
    <d v="2026-06-26T00:00:00"/>
    <d v="2026-06-29T00:00:00"/>
    <s v="Loan repayment by aline"/>
    <n v="3030"/>
    <x v="4"/>
    <m/>
    <n v="70800"/>
  </r>
  <r>
    <d v="2026-06-27T00:00:00"/>
    <d v="2026-06-29T00:00:00"/>
    <s v="Loan repayment by aline"/>
    <n v="7010"/>
    <x v="21"/>
    <m/>
    <n v="64200"/>
  </r>
  <r>
    <d v="2026-06-29T00:00:00"/>
    <d v="2026-06-30T00:00:00"/>
    <s v="Internal transfer charges"/>
    <n v="6280"/>
    <x v="16"/>
    <n v="500"/>
    <m/>
  </r>
  <r>
    <d v="2026-06-30T00:00:00"/>
    <d v="2026-06-30T00:00:00"/>
    <s v="Internal transfer charges"/>
    <n v="3020"/>
    <x v="8"/>
    <m/>
    <n v="500"/>
  </r>
  <r>
    <d v="2026-06-30T00:00:00"/>
    <d v="2026-06-30T00:00:00"/>
    <s v="Salary and wages for June 2026"/>
    <n v="6110"/>
    <x v="22"/>
    <n v="541501"/>
    <m/>
  </r>
  <r>
    <d v="2026-06-30T00:00:00"/>
    <d v="2026-06-30T00:00:00"/>
    <s v="Salary and wages for June 2026"/>
    <n v="2540"/>
    <x v="12"/>
    <m/>
    <n v="114000"/>
  </r>
  <r>
    <d v="2026-06-30T00:00:00"/>
    <d v="2026-06-30T00:00:00"/>
    <s v="Salary and wages for June 2026"/>
    <n v="2550"/>
    <x v="13"/>
    <m/>
    <n v="3000"/>
  </r>
  <r>
    <d v="2026-06-30T00:00:00"/>
    <d v="2026-06-30T00:00:00"/>
    <s v="Salary and wages for June 2026"/>
    <n v="2560"/>
    <x v="14"/>
    <m/>
    <n v="70000"/>
  </r>
  <r>
    <d v="2026-06-30T00:00:00"/>
    <d v="2026-06-30T00:00:00"/>
    <s v="Salary and wages for June 2026"/>
    <n v="2570"/>
    <x v="15"/>
    <m/>
    <n v="1773"/>
  </r>
  <r>
    <d v="2026-06-30T00:00:00"/>
    <d v="2026-06-30T00:00:00"/>
    <s v="Salary and wages for June 2026"/>
    <n v="2580"/>
    <x v="23"/>
    <m/>
    <n v="352728"/>
  </r>
  <r>
    <d v="2026-06-21T00:00:00"/>
    <d v="2026-06-30T00:00:00"/>
    <s v="Payment of Salary and wages for june2026"/>
    <n v="2580"/>
    <x v="23"/>
    <n v="352728"/>
    <m/>
  </r>
  <r>
    <d v="2026-06-21T00:00:00"/>
    <d v="2026-06-30T00:00:00"/>
    <s v="Payment of Salary and wages for june2026"/>
    <n v="3020"/>
    <x v="8"/>
    <m/>
    <n v="352728"/>
  </r>
  <r>
    <d v="2026-06-22T00:00:00"/>
    <d v="2026-06-30T00:00:00"/>
    <s v="Account maintenance fees "/>
    <n v="6280"/>
    <x v="16"/>
    <n v="2000"/>
    <m/>
  </r>
  <r>
    <d v="2026-06-23T00:00:00"/>
    <d v="2026-06-30T00:00:00"/>
    <s v="Account maintenance fees "/>
    <n v="3020"/>
    <x v="8"/>
    <m/>
    <n v="2000"/>
  </r>
  <r>
    <d v="2026-06-23T00:00:00"/>
    <d v="2026-06-30T00:00:00"/>
    <s v="Accrual of the interests up to 30.06.2026"/>
    <n v="3030"/>
    <x v="4"/>
    <n v="1275153.3999999999"/>
    <m/>
  </r>
  <r>
    <d v="2026-06-23T00:00:00"/>
    <d v="2026-06-30T00:00:00"/>
    <s v="Accrual of the interests up to 30.06.2026"/>
    <n v="7010"/>
    <x v="21"/>
    <m/>
    <n v="1275153.3999999999"/>
  </r>
  <r>
    <d v="2026-06-23T00:00:00"/>
    <d v="2026-06-30T00:00:00"/>
    <s v="Expenses paid by cash from April to June 2026"/>
    <n v="6300"/>
    <x v="24"/>
    <n v="191500"/>
    <m/>
  </r>
  <r>
    <d v="2026-06-23T00:00:00"/>
    <d v="2026-06-30T00:00:00"/>
    <s v="Expenses paid by cash from April to June 2026"/>
    <n v="3010"/>
    <x v="17"/>
    <m/>
    <n v="191500"/>
  </r>
  <r>
    <d v="2026-06-23T00:00:00"/>
    <d v="2026-06-30T00:00:00"/>
    <s v="Accrual of the rent for May and June 2026"/>
    <n v="6210"/>
    <x v="20"/>
    <n v="423728"/>
    <m/>
  </r>
  <r>
    <d v="2026-06-23T00:00:00"/>
    <d v="2026-06-30T00:00:00"/>
    <s v="Accrual of the rent for May and June 2026"/>
    <n v="3050"/>
    <x v="19"/>
    <m/>
    <n v="42372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B2:D28" firstHeaderRow="0" firstDataRow="1" firstDataCol="1"/>
  <pivotFields count="7">
    <pivotField showAll="0"/>
    <pivotField showAll="0"/>
    <pivotField showAll="0"/>
    <pivotField showAll="0"/>
    <pivotField axis="axisRow" showAll="0">
      <items count="26">
        <item x="4"/>
        <item x="1"/>
        <item x="8"/>
        <item x="16"/>
        <item x="17"/>
        <item x="2"/>
        <item x="15"/>
        <item x="18"/>
        <item x="21"/>
        <item x="3"/>
        <item x="13"/>
        <item x="24"/>
        <item x="20"/>
        <item x="6"/>
        <item x="5"/>
        <item x="12"/>
        <item x="14"/>
        <item x="19"/>
        <item x="0"/>
        <item x="7"/>
        <item x="22"/>
        <item x="23"/>
        <item x="9"/>
        <item x="10"/>
        <item x="11"/>
        <item t="default"/>
      </items>
    </pivotField>
    <pivotField dataField="1" showAll="0"/>
    <pivotField dataField="1" showAll="0"/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Debit" fld="5" baseField="0" baseItem="0"/>
    <dataField name="Sum of Credi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id="6" name="Table6" displayName="Table6" ref="A2:G576" totalsRowShown="0" tableBorderDxfId="13">
  <tableColumns count="7">
    <tableColumn id="1" name="Month" dataDxfId="12"/>
    <tableColumn id="2" name="Date" dataDxfId="11"/>
    <tableColumn id="3" name="Narration (Reason)" dataDxfId="10"/>
    <tableColumn id="4" name="Account code" dataDxfId="9">
      <calculatedColumnFormula>IFERROR(VLOOKUP(E3,Accounts!$B$2:$C$66,2,FALSE),0)</calculatedColumnFormula>
    </tableColumn>
    <tableColumn id="5" name="Account name " dataDxfId="8"/>
    <tableColumn id="6" name="Debit" dataDxfId="7" dataCellStyle="Comma"/>
    <tableColumn id="7" name="Credit" dataDxfId="6" dataCellStyle="Comm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3:G68" totalsRowShown="0">
  <autoFilter ref="A3:G68"/>
  <tableColumns count="7">
    <tableColumn id="1" name="Month" dataDxfId="5"/>
    <tableColumn id="2" name="Date" dataDxfId="4"/>
    <tableColumn id="3" name="Narration (Reason)"/>
    <tableColumn id="4" name="Account code"/>
    <tableColumn id="5" name="Account name "/>
    <tableColumn id="6" name="Debit"/>
    <tableColumn id="7" name="Credi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Table2" displayName="Table2" ref="A1:H18" totalsRowShown="0">
  <autoFilter ref="A1:H18"/>
  <sortState ref="A2:G34">
    <sortCondition ref="A2:A34"/>
  </sortState>
  <tableColumns count="8">
    <tableColumn id="1" name="Month" dataDxfId="3"/>
    <tableColumn id="2" name="Date" dataDxfId="2"/>
    <tableColumn id="3" name="Narration (Reason)"/>
    <tableColumn id="4" name="Account code"/>
    <tableColumn id="5" name="Account name "/>
    <tableColumn id="6" name="Debit"/>
    <tableColumn id="7" name="Credit"/>
    <tableColumn id="8" name="Column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76"/>
  <sheetViews>
    <sheetView topLeftCell="B532" zoomScale="95" zoomScaleNormal="95" workbookViewId="0">
      <selection activeCell="J542" sqref="J542"/>
    </sheetView>
  </sheetViews>
  <sheetFormatPr defaultColWidth="8.75" defaultRowHeight="15"/>
  <cols>
    <col min="1" max="1" width="12.25" style="33" bestFit="1" customWidth="1"/>
    <col min="2" max="2" width="9.125" style="35" bestFit="1" customWidth="1"/>
    <col min="3" max="3" width="47.625" style="5" customWidth="1"/>
    <col min="4" max="4" width="14.5" style="35" customWidth="1"/>
    <col min="5" max="5" width="34.625" style="5" customWidth="1"/>
    <col min="6" max="6" width="13" style="59" bestFit="1" customWidth="1"/>
    <col min="7" max="7" width="11.875" style="34" bestFit="1" customWidth="1"/>
    <col min="8" max="8" width="8.75" style="1"/>
    <col min="9" max="9" width="11.5" style="1" bestFit="1" customWidth="1"/>
    <col min="10" max="10" width="8.75" style="1"/>
    <col min="11" max="12" width="11.5" style="1" bestFit="1" customWidth="1"/>
    <col min="13" max="16384" width="8.75" style="1"/>
  </cols>
  <sheetData>
    <row r="1" spans="1:7">
      <c r="A1" s="38"/>
      <c r="B1" s="39"/>
      <c r="C1" s="37"/>
      <c r="D1" s="39"/>
      <c r="E1" s="37"/>
      <c r="F1" s="58"/>
      <c r="G1" s="40"/>
    </row>
    <row r="2" spans="1:7" ht="14.25">
      <c r="A2" s="140" t="s">
        <v>61</v>
      </c>
      <c r="B2" s="141" t="s">
        <v>60</v>
      </c>
      <c r="C2" s="142" t="s">
        <v>66</v>
      </c>
      <c r="D2" s="141" t="s">
        <v>62</v>
      </c>
      <c r="E2" s="142" t="s">
        <v>63</v>
      </c>
      <c r="F2" s="143" t="s">
        <v>64</v>
      </c>
      <c r="G2" s="144" t="s">
        <v>65</v>
      </c>
    </row>
    <row r="3" spans="1:7">
      <c r="A3" s="134">
        <v>46023</v>
      </c>
      <c r="B3" s="86">
        <v>46023</v>
      </c>
      <c r="C3" s="87"/>
      <c r="D3" s="88">
        <f>IFERROR(VLOOKUP(E3,Accounts!$B$2:$C$66,2,FALSE),0)</f>
        <v>3210</v>
      </c>
      <c r="E3" s="87" t="s">
        <v>20</v>
      </c>
      <c r="F3" s="89">
        <v>2500000</v>
      </c>
      <c r="G3" s="68"/>
    </row>
    <row r="4" spans="1:7">
      <c r="A4" s="134">
        <v>46023</v>
      </c>
      <c r="B4" s="86">
        <v>46023</v>
      </c>
      <c r="C4" s="87"/>
      <c r="D4" s="88">
        <f>IFERROR(VLOOKUP(E4,Accounts!$B$2:$C$66,2,FALSE),0)</f>
        <v>3220</v>
      </c>
      <c r="E4" s="87" t="s">
        <v>21</v>
      </c>
      <c r="F4" s="89"/>
      <c r="G4" s="68">
        <v>500000</v>
      </c>
    </row>
    <row r="5" spans="1:7">
      <c r="A5" s="134">
        <v>46023</v>
      </c>
      <c r="B5" s="86">
        <v>46023</v>
      </c>
      <c r="C5" s="87"/>
      <c r="D5" s="88">
        <f>IFERROR(VLOOKUP(E5,Accounts!$B$2:$C$66,2,FALSE),0)</f>
        <v>3060</v>
      </c>
      <c r="E5" s="87" t="s">
        <v>83</v>
      </c>
      <c r="F5" s="89">
        <v>250000</v>
      </c>
      <c r="G5" s="68"/>
    </row>
    <row r="6" spans="1:7">
      <c r="A6" s="134">
        <v>46023</v>
      </c>
      <c r="B6" s="86">
        <v>46023</v>
      </c>
      <c r="C6" s="87"/>
      <c r="D6" s="88">
        <f>IFERROR(VLOOKUP(E6,Accounts!$B$2:$C$66,2,FALSE),0)</f>
        <v>3110</v>
      </c>
      <c r="E6" s="87" t="s">
        <v>68</v>
      </c>
      <c r="F6" s="89">
        <v>19924960</v>
      </c>
      <c r="G6" s="68"/>
    </row>
    <row r="7" spans="1:7">
      <c r="A7" s="134">
        <v>46023</v>
      </c>
      <c r="B7" s="86">
        <v>46023</v>
      </c>
      <c r="C7" s="87"/>
      <c r="D7" s="88">
        <f>IFERROR(VLOOKUP(E7,Accounts!$B$2:$C$66,2,FALSE),0)</f>
        <v>3030</v>
      </c>
      <c r="E7" s="87" t="s">
        <v>13</v>
      </c>
      <c r="F7" s="89">
        <v>1405000</v>
      </c>
      <c r="G7" s="68"/>
    </row>
    <row r="8" spans="1:7">
      <c r="A8" s="134">
        <v>46023</v>
      </c>
      <c r="B8" s="86">
        <v>46023</v>
      </c>
      <c r="C8" s="87"/>
      <c r="D8" s="88">
        <f>IFERROR(VLOOKUP(E8,Accounts!$B$2:$C$66,2,FALSE),0)</f>
        <v>3040</v>
      </c>
      <c r="E8" s="87" t="s">
        <v>96</v>
      </c>
      <c r="F8" s="89">
        <v>73370</v>
      </c>
      <c r="G8" s="68"/>
    </row>
    <row r="9" spans="1:7">
      <c r="A9" s="134">
        <v>46023</v>
      </c>
      <c r="B9" s="86">
        <v>46023</v>
      </c>
      <c r="C9" s="87"/>
      <c r="D9" s="88">
        <f>IFERROR(VLOOKUP(E9,Accounts!$B$2:$C$66,2,FALSE),0)</f>
        <v>1010</v>
      </c>
      <c r="E9" s="87" t="s">
        <v>1</v>
      </c>
      <c r="F9" s="89"/>
      <c r="G9" s="68">
        <v>30000000</v>
      </c>
    </row>
    <row r="10" spans="1:7">
      <c r="A10" s="134">
        <v>46023</v>
      </c>
      <c r="B10" s="86">
        <v>46023</v>
      </c>
      <c r="C10" s="87"/>
      <c r="D10" s="88">
        <f>IFERROR(VLOOKUP(E10,Accounts!$B$2:$C$66,2,FALSE),0)</f>
        <v>1050</v>
      </c>
      <c r="E10" s="87" t="s">
        <v>5</v>
      </c>
      <c r="F10" s="89"/>
      <c r="G10" s="68">
        <v>1859574</v>
      </c>
    </row>
    <row r="11" spans="1:7">
      <c r="A11" s="134">
        <v>46023</v>
      </c>
      <c r="B11" s="86">
        <v>46023</v>
      </c>
      <c r="C11" s="87"/>
      <c r="D11" s="88">
        <f>IFERROR(VLOOKUP(E11,Accounts!$B$2:$C$66,2,FALSE),0)</f>
        <v>3020</v>
      </c>
      <c r="E11" s="87" t="s">
        <v>12</v>
      </c>
      <c r="F11" s="89">
        <v>11440671</v>
      </c>
      <c r="G11" s="68"/>
    </row>
    <row r="12" spans="1:7">
      <c r="A12" s="134">
        <v>46023</v>
      </c>
      <c r="B12" s="86">
        <v>46023</v>
      </c>
      <c r="C12" s="87"/>
      <c r="D12" s="88">
        <f>IFERROR(VLOOKUP(E12,Accounts!$B$2:$C$66,2,FALSE),0)</f>
        <v>2030</v>
      </c>
      <c r="E12" s="87" t="s">
        <v>59</v>
      </c>
      <c r="F12" s="89"/>
      <c r="G12" s="68">
        <v>2750000</v>
      </c>
    </row>
    <row r="13" spans="1:7">
      <c r="A13" s="134">
        <v>46023</v>
      </c>
      <c r="B13" s="86">
        <v>46023</v>
      </c>
      <c r="C13" s="87"/>
      <c r="D13" s="88">
        <f>IFERROR(VLOOKUP(E13,Accounts!$B$2:$C$66,2,FALSE),0)</f>
        <v>2640</v>
      </c>
      <c r="E13" s="87" t="s">
        <v>189</v>
      </c>
      <c r="F13" s="89"/>
      <c r="G13" s="68">
        <v>204165</v>
      </c>
    </row>
    <row r="14" spans="1:7">
      <c r="A14" s="134">
        <v>46023</v>
      </c>
      <c r="B14" s="86">
        <v>46023</v>
      </c>
      <c r="C14" s="87"/>
      <c r="D14" s="88">
        <f>IFERROR(VLOOKUP(E14,Accounts!$B$2:$C$66,2,FALSE),0)</f>
        <v>2530</v>
      </c>
      <c r="E14" s="87" t="s">
        <v>104</v>
      </c>
      <c r="F14" s="89"/>
      <c r="G14" s="68">
        <v>91489</v>
      </c>
    </row>
    <row r="15" spans="1:7">
      <c r="A15" s="134">
        <v>46023</v>
      </c>
      <c r="B15" s="86">
        <v>46023</v>
      </c>
      <c r="C15" s="87"/>
      <c r="D15" s="88">
        <f>IFERROR(VLOOKUP(E15,Accounts!$B$2:$C$66,2,FALSE),0)</f>
        <v>2540</v>
      </c>
      <c r="E15" s="87" t="s">
        <v>71</v>
      </c>
      <c r="F15" s="89"/>
      <c r="G15" s="68">
        <v>114000</v>
      </c>
    </row>
    <row r="16" spans="1:7">
      <c r="A16" s="134">
        <v>46023</v>
      </c>
      <c r="B16" s="86">
        <v>46023</v>
      </c>
      <c r="C16" s="87"/>
      <c r="D16" s="88">
        <f>IFERROR(VLOOKUP(E16,Accounts!$B$2:$C$66,2,FALSE),0)</f>
        <v>2550</v>
      </c>
      <c r="E16" s="87" t="s">
        <v>97</v>
      </c>
      <c r="F16" s="89"/>
      <c r="G16" s="68">
        <v>3000</v>
      </c>
    </row>
    <row r="17" spans="1:7">
      <c r="A17" s="134">
        <v>46023</v>
      </c>
      <c r="B17" s="86">
        <v>46023</v>
      </c>
      <c r="C17" s="87"/>
      <c r="D17" s="88">
        <f>IFERROR(VLOOKUP(E17,Accounts!$B$2:$C$66,2,FALSE),0)</f>
        <v>2560</v>
      </c>
      <c r="E17" s="87" t="s">
        <v>98</v>
      </c>
      <c r="F17" s="89"/>
      <c r="G17" s="68">
        <v>70000</v>
      </c>
    </row>
    <row r="18" spans="1:7">
      <c r="A18" s="134">
        <v>46023</v>
      </c>
      <c r="B18" s="86">
        <v>46023</v>
      </c>
      <c r="C18" s="87"/>
      <c r="D18" s="88">
        <f>IFERROR(VLOOKUP(E18,Accounts!$B$2:$C$66,2,FALSE),0)</f>
        <v>2570</v>
      </c>
      <c r="E18" s="87" t="s">
        <v>99</v>
      </c>
      <c r="F18" s="89"/>
      <c r="G18" s="68">
        <v>1773</v>
      </c>
    </row>
    <row r="19" spans="1:7">
      <c r="A19" s="134">
        <v>46023</v>
      </c>
      <c r="B19" s="86">
        <v>46023</v>
      </c>
      <c r="C19" s="87"/>
      <c r="D19" s="88">
        <f>IFERROR(VLOOKUP(E19,Accounts!$B$2:$C$66,2,FALSE),0)</f>
        <v>6280</v>
      </c>
      <c r="E19" s="87" t="s">
        <v>67</v>
      </c>
      <c r="F19" s="89">
        <v>2000</v>
      </c>
      <c r="G19" s="68"/>
    </row>
    <row r="20" spans="1:7">
      <c r="A20" s="134">
        <v>46023</v>
      </c>
      <c r="B20" s="86">
        <v>46023</v>
      </c>
      <c r="C20" s="87"/>
      <c r="D20" s="88">
        <f>IFERROR(VLOOKUP(E20,Accounts!$B$2:$C$66,2,FALSE),0)</f>
        <v>3020</v>
      </c>
      <c r="E20" s="87" t="s">
        <v>12</v>
      </c>
      <c r="F20" s="89"/>
      <c r="G20" s="68">
        <v>2000</v>
      </c>
    </row>
    <row r="21" spans="1:7">
      <c r="A21" s="134">
        <v>46023</v>
      </c>
      <c r="B21" s="86">
        <v>46023</v>
      </c>
      <c r="C21" s="87"/>
      <c r="D21" s="88">
        <f>IFERROR(VLOOKUP(E21,Accounts!$B$2:$C$66,2,FALSE),0)</f>
        <v>6280</v>
      </c>
      <c r="E21" s="87" t="s">
        <v>67</v>
      </c>
      <c r="F21" s="89">
        <v>200</v>
      </c>
      <c r="G21" s="68"/>
    </row>
    <row r="22" spans="1:7">
      <c r="A22" s="134">
        <v>46023</v>
      </c>
      <c r="B22" s="86">
        <v>46023</v>
      </c>
      <c r="C22" s="87"/>
      <c r="D22" s="88">
        <f>IFERROR(VLOOKUP(E22,Accounts!$B$2:$C$66,2,FALSE),0)</f>
        <v>3020</v>
      </c>
      <c r="E22" s="87" t="s">
        <v>12</v>
      </c>
      <c r="F22" s="89"/>
      <c r="G22" s="68">
        <v>200</v>
      </c>
    </row>
    <row r="23" spans="1:7">
      <c r="A23" s="134">
        <v>46024</v>
      </c>
      <c r="B23" s="86">
        <v>46025</v>
      </c>
      <c r="C23" s="87" t="s">
        <v>131</v>
      </c>
      <c r="D23" s="88">
        <f>IFERROR(VLOOKUP(E23,Accounts!$B$2:$C$66,2,FALSE),0)</f>
        <v>3020</v>
      </c>
      <c r="E23" s="87" t="s">
        <v>12</v>
      </c>
      <c r="F23" s="89">
        <v>1300000</v>
      </c>
      <c r="G23" s="68"/>
    </row>
    <row r="24" spans="1:7">
      <c r="A24" s="134">
        <v>46025</v>
      </c>
      <c r="B24" s="86">
        <v>46025</v>
      </c>
      <c r="C24" s="87" t="s">
        <v>131</v>
      </c>
      <c r="D24" s="88">
        <f>IFERROR(VLOOKUP(E24,Accounts!$B$2:$C$66,2,FALSE),0)</f>
        <v>3030</v>
      </c>
      <c r="E24" s="87" t="s">
        <v>13</v>
      </c>
      <c r="F24" s="89"/>
      <c r="G24" s="68">
        <f>70800+150000</f>
        <v>220800</v>
      </c>
    </row>
    <row r="25" spans="1:7">
      <c r="A25" s="134">
        <v>46027</v>
      </c>
      <c r="B25" s="86">
        <v>46025</v>
      </c>
      <c r="C25" s="87" t="s">
        <v>131</v>
      </c>
      <c r="D25" s="88">
        <f>IFERROR(VLOOKUP(E25,Accounts!$B$2:$C$66,2,FALSE),0)</f>
        <v>3110</v>
      </c>
      <c r="E25" s="87" t="s">
        <v>68</v>
      </c>
      <c r="F25" s="89"/>
      <c r="G25" s="68">
        <f>F23-G24</f>
        <v>1079200</v>
      </c>
    </row>
    <row r="26" spans="1:7">
      <c r="A26" s="134">
        <v>46028</v>
      </c>
      <c r="B26" s="86">
        <v>46027</v>
      </c>
      <c r="C26" s="87" t="s">
        <v>115</v>
      </c>
      <c r="D26" s="88">
        <f>IFERROR(VLOOKUP(E26,Accounts!$B$2:$C$66,2,FALSE),0)</f>
        <v>6280</v>
      </c>
      <c r="E26" s="87" t="s">
        <v>67</v>
      </c>
      <c r="F26" s="89">
        <v>500</v>
      </c>
      <c r="G26" s="68"/>
    </row>
    <row r="27" spans="1:7">
      <c r="A27" s="134">
        <v>46029</v>
      </c>
      <c r="B27" s="86">
        <v>46027</v>
      </c>
      <c r="C27" s="87" t="s">
        <v>115</v>
      </c>
      <c r="D27" s="88">
        <f>IFERROR(VLOOKUP(E27,Accounts!$B$2:$C$66,2,FALSE),0)</f>
        <v>3020</v>
      </c>
      <c r="E27" s="87" t="s">
        <v>12</v>
      </c>
      <c r="F27" s="89"/>
      <c r="G27" s="68">
        <v>500</v>
      </c>
    </row>
    <row r="28" spans="1:7">
      <c r="A28" s="134">
        <v>46030</v>
      </c>
      <c r="B28" s="86">
        <v>46027</v>
      </c>
      <c r="C28" s="87" t="s">
        <v>132</v>
      </c>
      <c r="D28" s="88">
        <f>IFERROR(VLOOKUP(E28,Accounts!$B$2:$C$66,2,FALSE),0)</f>
        <v>6280</v>
      </c>
      <c r="E28" s="87" t="s">
        <v>67</v>
      </c>
      <c r="F28" s="89">
        <v>20000</v>
      </c>
      <c r="G28" s="68"/>
    </row>
    <row r="29" spans="1:7">
      <c r="A29" s="134">
        <v>46031</v>
      </c>
      <c r="B29" s="86">
        <v>46027</v>
      </c>
      <c r="C29" s="87" t="s">
        <v>132</v>
      </c>
      <c r="D29" s="88">
        <f>IFERROR(VLOOKUP(E29,Accounts!$B$2:$C$66,2,FALSE),0)</f>
        <v>3020</v>
      </c>
      <c r="E29" s="87" t="s">
        <v>12</v>
      </c>
      <c r="F29" s="89"/>
      <c r="G29" s="68">
        <v>20000</v>
      </c>
    </row>
    <row r="30" spans="1:7">
      <c r="A30" s="134">
        <v>46032</v>
      </c>
      <c r="B30" s="86">
        <v>46028</v>
      </c>
      <c r="C30" s="87" t="s">
        <v>133</v>
      </c>
      <c r="D30" s="88">
        <f>IFERROR(VLOOKUP(E30,Accounts!$B$2:$C$66,2,FALSE),0)</f>
        <v>3020</v>
      </c>
      <c r="E30" s="87" t="s">
        <v>12</v>
      </c>
      <c r="F30" s="89">
        <v>350000</v>
      </c>
      <c r="G30" s="68"/>
    </row>
    <row r="31" spans="1:7">
      <c r="A31" s="134">
        <v>46033</v>
      </c>
      <c r="B31" s="86">
        <v>46028</v>
      </c>
      <c r="C31" s="87" t="s">
        <v>133</v>
      </c>
      <c r="D31" s="88">
        <f>IFERROR(VLOOKUP(E31,Accounts!$B$2:$C$66,2,FALSE),0)</f>
        <v>3110</v>
      </c>
      <c r="E31" s="87" t="s">
        <v>68</v>
      </c>
      <c r="F31" s="89"/>
      <c r="G31" s="68">
        <v>350000</v>
      </c>
    </row>
    <row r="32" spans="1:7" s="31" customFormat="1">
      <c r="A32" s="135">
        <v>46034</v>
      </c>
      <c r="B32" s="86">
        <v>46029</v>
      </c>
      <c r="C32" s="87" t="s">
        <v>134</v>
      </c>
      <c r="D32" s="88">
        <f>IFERROR(VLOOKUP(E32,Accounts!$B$2:$C$66,2,FALSE),0)</f>
        <v>3020</v>
      </c>
      <c r="E32" s="87" t="s">
        <v>12</v>
      </c>
      <c r="F32" s="89">
        <v>5000000</v>
      </c>
      <c r="G32" s="68"/>
    </row>
    <row r="33" spans="1:7" s="31" customFormat="1">
      <c r="A33" s="135">
        <v>46035</v>
      </c>
      <c r="B33" s="86">
        <v>46029</v>
      </c>
      <c r="C33" s="87" t="s">
        <v>134</v>
      </c>
      <c r="D33" s="88">
        <f>IFERROR(VLOOKUP(E33,Accounts!$B$2:$C$66,2,FALSE),0)</f>
        <v>3110</v>
      </c>
      <c r="E33" s="87" t="s">
        <v>68</v>
      </c>
      <c r="F33" s="89"/>
      <c r="G33" s="68">
        <v>5000000</v>
      </c>
    </row>
    <row r="34" spans="1:7" s="31" customFormat="1">
      <c r="A34" s="135">
        <v>46036</v>
      </c>
      <c r="B34" s="86">
        <v>46029</v>
      </c>
      <c r="C34" s="87" t="s">
        <v>134</v>
      </c>
      <c r="D34" s="88">
        <f>IFERROR(VLOOKUP(E34,Accounts!$B$2:$C$66,2,FALSE),0)</f>
        <v>3020</v>
      </c>
      <c r="E34" s="87" t="s">
        <v>12</v>
      </c>
      <c r="F34" s="89">
        <v>1000000</v>
      </c>
      <c r="G34" s="68"/>
    </row>
    <row r="35" spans="1:7" s="31" customFormat="1">
      <c r="A35" s="135">
        <v>46037</v>
      </c>
      <c r="B35" s="86">
        <v>46029</v>
      </c>
      <c r="C35" s="87" t="s">
        <v>134</v>
      </c>
      <c r="D35" s="88">
        <f>IFERROR(VLOOKUP(E35,Accounts!$B$2:$C$66,2,FALSE),0)</f>
        <v>3110</v>
      </c>
      <c r="E35" s="87" t="s">
        <v>68</v>
      </c>
      <c r="F35" s="89"/>
      <c r="G35" s="68">
        <v>1000000</v>
      </c>
    </row>
    <row r="36" spans="1:7">
      <c r="A36" s="134">
        <v>46037</v>
      </c>
      <c r="B36" s="86">
        <v>46030</v>
      </c>
      <c r="C36" s="87" t="s">
        <v>135</v>
      </c>
      <c r="D36" s="88">
        <f>IFERROR(VLOOKUP(E36,Accounts!$B$2:$C$66,2,FALSE),0)</f>
        <v>3020</v>
      </c>
      <c r="E36" s="87" t="s">
        <v>12</v>
      </c>
      <c r="F36" s="90">
        <v>70200</v>
      </c>
      <c r="G36" s="91"/>
    </row>
    <row r="37" spans="1:7">
      <c r="A37" s="134">
        <v>46037</v>
      </c>
      <c r="B37" s="86">
        <v>46030</v>
      </c>
      <c r="C37" s="87" t="s">
        <v>135</v>
      </c>
      <c r="D37" s="88">
        <f>IFERROR(VLOOKUP(E37,Accounts!$B$2:$C$66,2,FALSE),0)</f>
        <v>3110</v>
      </c>
      <c r="E37" s="87" t="s">
        <v>68</v>
      </c>
      <c r="F37" s="90"/>
      <c r="G37" s="91">
        <v>70200</v>
      </c>
    </row>
    <row r="38" spans="1:7">
      <c r="A38" s="134">
        <v>46038</v>
      </c>
      <c r="B38" s="86">
        <v>46031</v>
      </c>
      <c r="C38" s="87" t="s">
        <v>112</v>
      </c>
      <c r="D38" s="88">
        <f>IFERROR(VLOOKUP(E38,Accounts!$B$2:$C$66,2,FALSE),0)</f>
        <v>6280</v>
      </c>
      <c r="E38" s="87" t="s">
        <v>67</v>
      </c>
      <c r="F38" s="89">
        <v>500</v>
      </c>
      <c r="G38" s="68"/>
    </row>
    <row r="39" spans="1:7">
      <c r="A39" s="134">
        <v>46039</v>
      </c>
      <c r="B39" s="86">
        <v>46031</v>
      </c>
      <c r="C39" s="87" t="s">
        <v>112</v>
      </c>
      <c r="D39" s="88">
        <f>IFERROR(VLOOKUP(E39,Accounts!$B$2:$C$66,2,FALSE),0)</f>
        <v>3020</v>
      </c>
      <c r="E39" s="87" t="s">
        <v>12</v>
      </c>
      <c r="F39" s="89"/>
      <c r="G39" s="68">
        <v>500</v>
      </c>
    </row>
    <row r="40" spans="1:7">
      <c r="A40" s="134">
        <v>46040</v>
      </c>
      <c r="B40" s="86">
        <v>46031</v>
      </c>
      <c r="C40" s="87" t="s">
        <v>109</v>
      </c>
      <c r="D40" s="88">
        <f>IFERROR(VLOOKUP(E40,Accounts!$B$2:$C$66,2,FALSE),0)</f>
        <v>3010</v>
      </c>
      <c r="E40" s="87" t="s">
        <v>11</v>
      </c>
      <c r="F40" s="89">
        <v>50000</v>
      </c>
      <c r="G40" s="68"/>
    </row>
    <row r="41" spans="1:7">
      <c r="A41" s="134">
        <v>46041</v>
      </c>
      <c r="B41" s="86">
        <v>46031</v>
      </c>
      <c r="C41" s="87" t="s">
        <v>109</v>
      </c>
      <c r="D41" s="88">
        <f>IFERROR(VLOOKUP(E41,Accounts!$B$2:$C$66,2,FALSE),0)</f>
        <v>3020</v>
      </c>
      <c r="E41" s="87" t="s">
        <v>12</v>
      </c>
      <c r="F41" s="89"/>
      <c r="G41" s="68">
        <v>50000</v>
      </c>
    </row>
    <row r="42" spans="1:7">
      <c r="A42" s="134">
        <v>46042</v>
      </c>
      <c r="B42" s="86">
        <v>46034</v>
      </c>
      <c r="C42" s="87" t="s">
        <v>136</v>
      </c>
      <c r="D42" s="88">
        <f>IFERROR(VLOOKUP(E42,Accounts!$B$2:$C$66,2,FALSE),0)</f>
        <v>3030</v>
      </c>
      <c r="E42" s="87" t="s">
        <v>13</v>
      </c>
      <c r="F42" s="89">
        <v>94400</v>
      </c>
      <c r="G42" s="91"/>
    </row>
    <row r="43" spans="1:7">
      <c r="A43" s="134">
        <v>46043</v>
      </c>
      <c r="B43" s="86">
        <v>46034</v>
      </c>
      <c r="C43" s="87" t="s">
        <v>136</v>
      </c>
      <c r="D43" s="88">
        <f>IFERROR(VLOOKUP(E43,Accounts!$B$2:$C$66,2,FALSE),0)</f>
        <v>3110</v>
      </c>
      <c r="E43" s="87" t="s">
        <v>68</v>
      </c>
      <c r="F43" s="89">
        <v>2000000</v>
      </c>
      <c r="G43" s="68"/>
    </row>
    <row r="44" spans="1:7">
      <c r="A44" s="134">
        <v>46044</v>
      </c>
      <c r="B44" s="86">
        <v>46034</v>
      </c>
      <c r="C44" s="87" t="s">
        <v>136</v>
      </c>
      <c r="D44" s="88">
        <f>IFERROR(VLOOKUP(E44,Accounts!$B$2:$C$66,2,FALSE),0)</f>
        <v>3020</v>
      </c>
      <c r="E44" s="87" t="s">
        <v>12</v>
      </c>
      <c r="F44" s="90"/>
      <c r="G44" s="68">
        <v>2000000</v>
      </c>
    </row>
    <row r="45" spans="1:7">
      <c r="A45" s="134">
        <v>46045</v>
      </c>
      <c r="B45" s="86">
        <v>46034</v>
      </c>
      <c r="C45" s="87" t="s">
        <v>136</v>
      </c>
      <c r="D45" s="88">
        <f>IFERROR(VLOOKUP(E45,Accounts!$B$2:$C$66,2,FALSE),0)</f>
        <v>7020</v>
      </c>
      <c r="E45" s="87" t="s">
        <v>51</v>
      </c>
      <c r="F45" s="90"/>
      <c r="G45" s="68">
        <v>80000</v>
      </c>
    </row>
    <row r="46" spans="1:7">
      <c r="A46" s="134">
        <v>46046</v>
      </c>
      <c r="B46" s="86">
        <v>46034</v>
      </c>
      <c r="C46" s="87" t="s">
        <v>136</v>
      </c>
      <c r="D46" s="88">
        <f>IFERROR(VLOOKUP(E46,Accounts!$B$2:$C$66,2,FALSE),0)</f>
        <v>2530</v>
      </c>
      <c r="E46" s="87" t="s">
        <v>104</v>
      </c>
      <c r="F46" s="90"/>
      <c r="G46" s="68">
        <v>14400</v>
      </c>
    </row>
    <row r="47" spans="1:7" s="42" customFormat="1">
      <c r="A47" s="136">
        <v>46047</v>
      </c>
      <c r="B47" s="92">
        <v>46037</v>
      </c>
      <c r="C47" s="93" t="s">
        <v>137</v>
      </c>
      <c r="D47" s="94">
        <f>IFERROR(VLOOKUP(E47,Accounts!$B$2:$C$66,2,FALSE),0)</f>
        <v>2560</v>
      </c>
      <c r="E47" s="93" t="s">
        <v>98</v>
      </c>
      <c r="F47" s="95">
        <v>70000</v>
      </c>
      <c r="G47" s="96"/>
    </row>
    <row r="48" spans="1:7" s="42" customFormat="1">
      <c r="A48" s="136">
        <v>46048</v>
      </c>
      <c r="B48" s="92">
        <v>46037</v>
      </c>
      <c r="C48" s="93" t="s">
        <v>137</v>
      </c>
      <c r="D48" s="94">
        <f>IFERROR(VLOOKUP(E48,Accounts!$B$2:$C$66,2,FALSE),0)</f>
        <v>3020</v>
      </c>
      <c r="E48" s="93" t="s">
        <v>12</v>
      </c>
      <c r="F48" s="95"/>
      <c r="G48" s="96">
        <v>70000</v>
      </c>
    </row>
    <row r="49" spans="1:7">
      <c r="A49" s="134">
        <v>46049</v>
      </c>
      <c r="B49" s="86">
        <v>46037</v>
      </c>
      <c r="C49" s="87" t="s">
        <v>114</v>
      </c>
      <c r="D49" s="88">
        <f>IFERROR(VLOOKUP(E49,Accounts!$B$2:$C$66,2,FALSE),0)</f>
        <v>6280</v>
      </c>
      <c r="E49" s="87" t="s">
        <v>67</v>
      </c>
      <c r="F49" s="89">
        <v>500</v>
      </c>
      <c r="G49" s="68"/>
    </row>
    <row r="50" spans="1:7">
      <c r="A50" s="134">
        <v>46050</v>
      </c>
      <c r="B50" s="86">
        <v>46037</v>
      </c>
      <c r="C50" s="87" t="s">
        <v>114</v>
      </c>
      <c r="D50" s="88">
        <f>IFERROR(VLOOKUP(E50,Accounts!$B$2:$C$66,2,FALSE),0)</f>
        <v>3020</v>
      </c>
      <c r="E50" s="87" t="s">
        <v>12</v>
      </c>
      <c r="F50" s="89"/>
      <c r="G50" s="68">
        <v>500</v>
      </c>
    </row>
    <row r="51" spans="1:7">
      <c r="A51" s="134">
        <v>46051</v>
      </c>
      <c r="B51" s="86">
        <v>46037</v>
      </c>
      <c r="C51" s="87" t="s">
        <v>141</v>
      </c>
      <c r="D51" s="88">
        <f>IFERROR(VLOOKUP(E51,Accounts!$B$2:$C$66,2,FALSE),0)</f>
        <v>2530</v>
      </c>
      <c r="E51" s="87" t="s">
        <v>104</v>
      </c>
      <c r="F51" s="89">
        <v>91489</v>
      </c>
      <c r="G51" s="91"/>
    </row>
    <row r="52" spans="1:7">
      <c r="A52" s="134">
        <v>46052</v>
      </c>
      <c r="B52" s="86">
        <v>46037</v>
      </c>
      <c r="C52" s="87" t="s">
        <v>141</v>
      </c>
      <c r="D52" s="88">
        <f>IFERROR(VLOOKUP(E52,Accounts!$B$2:$C$66,2,FALSE),0)</f>
        <v>3020</v>
      </c>
      <c r="E52" s="87" t="s">
        <v>12</v>
      </c>
      <c r="F52" s="90"/>
      <c r="G52" s="60">
        <v>91489</v>
      </c>
    </row>
    <row r="53" spans="1:7" s="42" customFormat="1">
      <c r="A53" s="136">
        <v>46053</v>
      </c>
      <c r="B53" s="92">
        <v>46037</v>
      </c>
      <c r="C53" s="93" t="s">
        <v>139</v>
      </c>
      <c r="D53" s="94">
        <f>IFERROR(VLOOKUP(E53,Accounts!$B$2:$C$66,2,FALSE),0)</f>
        <v>2570</v>
      </c>
      <c r="E53" s="93" t="s">
        <v>99</v>
      </c>
      <c r="F53" s="95">
        <v>1773</v>
      </c>
      <c r="G53" s="96"/>
    </row>
    <row r="54" spans="1:7" s="42" customFormat="1">
      <c r="A54" s="136">
        <v>46023</v>
      </c>
      <c r="B54" s="92">
        <v>46037</v>
      </c>
      <c r="C54" s="93" t="s">
        <v>139</v>
      </c>
      <c r="D54" s="94">
        <f>IFERROR(VLOOKUP(E54,Accounts!$B$2:$C$66,2,FALSE),0)</f>
        <v>3020</v>
      </c>
      <c r="E54" s="93" t="s">
        <v>12</v>
      </c>
      <c r="F54" s="95"/>
      <c r="G54" s="96">
        <v>1773</v>
      </c>
    </row>
    <row r="55" spans="1:7">
      <c r="A55" s="134">
        <v>46024</v>
      </c>
      <c r="B55" s="86">
        <v>46037</v>
      </c>
      <c r="C55" s="87" t="s">
        <v>114</v>
      </c>
      <c r="D55" s="88">
        <f>IFERROR(VLOOKUP(E55,Accounts!$B$2:$C$66,2,FALSE),0)</f>
        <v>6280</v>
      </c>
      <c r="E55" s="87" t="s">
        <v>67</v>
      </c>
      <c r="F55" s="89">
        <v>500</v>
      </c>
      <c r="G55" s="68"/>
    </row>
    <row r="56" spans="1:7">
      <c r="A56" s="134">
        <v>46025</v>
      </c>
      <c r="B56" s="86">
        <v>46037</v>
      </c>
      <c r="C56" s="87" t="s">
        <v>114</v>
      </c>
      <c r="D56" s="88">
        <f>IFERROR(VLOOKUP(E56,Accounts!$B$2:$C$66,2,FALSE),0)</f>
        <v>3020</v>
      </c>
      <c r="E56" s="87" t="s">
        <v>12</v>
      </c>
      <c r="F56" s="89"/>
      <c r="G56" s="68">
        <v>500</v>
      </c>
    </row>
    <row r="57" spans="1:7" s="42" customFormat="1">
      <c r="A57" s="136">
        <v>46026</v>
      </c>
      <c r="B57" s="92">
        <v>46037</v>
      </c>
      <c r="C57" s="93" t="s">
        <v>138</v>
      </c>
      <c r="D57" s="94">
        <f>IFERROR(VLOOKUP(E57,Accounts!$B$2:$C$66,2,FALSE),0)</f>
        <v>2540</v>
      </c>
      <c r="E57" s="93" t="s">
        <v>71</v>
      </c>
      <c r="F57" s="95">
        <v>64000</v>
      </c>
      <c r="G57" s="97"/>
    </row>
    <row r="58" spans="1:7" s="42" customFormat="1">
      <c r="A58" s="136">
        <v>46027</v>
      </c>
      <c r="B58" s="92">
        <v>46037</v>
      </c>
      <c r="C58" s="93" t="s">
        <v>138</v>
      </c>
      <c r="D58" s="94">
        <f>IFERROR(VLOOKUP(E58,Accounts!$B$2:$C$66,2,FALSE),0)</f>
        <v>3020</v>
      </c>
      <c r="E58" s="93" t="s">
        <v>12</v>
      </c>
      <c r="F58" s="98"/>
      <c r="G58" s="96">
        <v>64000</v>
      </c>
    </row>
    <row r="59" spans="1:7" s="42" customFormat="1">
      <c r="A59" s="136">
        <v>46028</v>
      </c>
      <c r="B59" s="92">
        <v>46037</v>
      </c>
      <c r="C59" s="93" t="s">
        <v>140</v>
      </c>
      <c r="D59" s="94">
        <f>IFERROR(VLOOKUP(E59,Accounts!$B$2:$C$66,2,FALSE),0)</f>
        <v>2550</v>
      </c>
      <c r="E59" s="93" t="s">
        <v>97</v>
      </c>
      <c r="F59" s="95">
        <v>3000</v>
      </c>
      <c r="G59" s="96"/>
    </row>
    <row r="60" spans="1:7" s="42" customFormat="1">
      <c r="A60" s="136">
        <v>46029</v>
      </c>
      <c r="B60" s="92">
        <v>46037</v>
      </c>
      <c r="C60" s="93" t="s">
        <v>140</v>
      </c>
      <c r="D60" s="94">
        <f>IFERROR(VLOOKUP(E60,Accounts!$B$2:$C$66,2,FALSE),0)</f>
        <v>3020</v>
      </c>
      <c r="E60" s="93" t="s">
        <v>12</v>
      </c>
      <c r="F60" s="95"/>
      <c r="G60" s="96">
        <v>3000</v>
      </c>
    </row>
    <row r="61" spans="1:7">
      <c r="A61" s="134">
        <v>46030</v>
      </c>
      <c r="B61" s="86">
        <v>46037</v>
      </c>
      <c r="C61" s="87" t="s">
        <v>112</v>
      </c>
      <c r="D61" s="88">
        <f>IFERROR(VLOOKUP(E61,Accounts!$B$2:$C$66,2,FALSE),0)</f>
        <v>6280</v>
      </c>
      <c r="E61" s="87" t="s">
        <v>67</v>
      </c>
      <c r="F61" s="89">
        <v>500</v>
      </c>
      <c r="G61" s="68"/>
    </row>
    <row r="62" spans="1:7">
      <c r="A62" s="134">
        <v>46031</v>
      </c>
      <c r="B62" s="86">
        <v>46037</v>
      </c>
      <c r="C62" s="87" t="s">
        <v>112</v>
      </c>
      <c r="D62" s="88">
        <f>IFERROR(VLOOKUP(E62,Accounts!$B$2:$C$66,2,FALSE),0)</f>
        <v>3020</v>
      </c>
      <c r="E62" s="87" t="s">
        <v>12</v>
      </c>
      <c r="F62" s="89"/>
      <c r="G62" s="68">
        <v>500</v>
      </c>
    </row>
    <row r="63" spans="1:7">
      <c r="A63" s="134">
        <v>46031</v>
      </c>
      <c r="B63" s="86">
        <v>46037</v>
      </c>
      <c r="C63" s="87" t="s">
        <v>109</v>
      </c>
      <c r="D63" s="88">
        <f>IFERROR(VLOOKUP(E63,Accounts!$B$2:$C$66,2,FALSE),0)</f>
        <v>3010</v>
      </c>
      <c r="E63" s="87" t="s">
        <v>11</v>
      </c>
      <c r="F63" s="89">
        <v>25000</v>
      </c>
      <c r="G63" s="68"/>
    </row>
    <row r="64" spans="1:7">
      <c r="A64" s="134">
        <v>46031</v>
      </c>
      <c r="B64" s="86">
        <v>46037</v>
      </c>
      <c r="C64" s="87" t="s">
        <v>109</v>
      </c>
      <c r="D64" s="88">
        <f>IFERROR(VLOOKUP(E64,Accounts!$B$2:$C$66,2,FALSE),0)</f>
        <v>3020</v>
      </c>
      <c r="E64" s="87" t="s">
        <v>12</v>
      </c>
      <c r="F64" s="89"/>
      <c r="G64" s="68">
        <v>25000</v>
      </c>
    </row>
    <row r="65" spans="1:9">
      <c r="A65" s="134">
        <v>46032</v>
      </c>
      <c r="B65" s="86">
        <v>46041</v>
      </c>
      <c r="C65" s="87" t="s">
        <v>152</v>
      </c>
      <c r="D65" s="88">
        <f>IFERROR(VLOOKUP(E65,Accounts!$B$2:$C$66,2,FALSE),0)</f>
        <v>6280</v>
      </c>
      <c r="E65" s="87" t="s">
        <v>67</v>
      </c>
      <c r="F65" s="89">
        <v>1000</v>
      </c>
      <c r="G65" s="68"/>
    </row>
    <row r="66" spans="1:9">
      <c r="A66" s="134">
        <v>46033</v>
      </c>
      <c r="B66" s="86">
        <v>46041</v>
      </c>
      <c r="C66" s="87" t="s">
        <v>152</v>
      </c>
      <c r="D66" s="88">
        <f>IFERROR(VLOOKUP(E66,Accounts!$B$2:$C$66,2,FALSE),0)</f>
        <v>3020</v>
      </c>
      <c r="E66" s="87" t="s">
        <v>12</v>
      </c>
      <c r="F66" s="89"/>
      <c r="G66" s="68">
        <v>1000</v>
      </c>
    </row>
    <row r="67" spans="1:9">
      <c r="A67" s="134">
        <v>46034</v>
      </c>
      <c r="B67" s="86">
        <v>46041</v>
      </c>
      <c r="C67" s="87" t="s">
        <v>142</v>
      </c>
      <c r="D67" s="88">
        <f>IFERROR(VLOOKUP(E67,Accounts!$B$2:$C$66,2,FALSE),0)</f>
        <v>3050</v>
      </c>
      <c r="E67" s="87" t="s">
        <v>14</v>
      </c>
      <c r="F67" s="89">
        <v>211864</v>
      </c>
      <c r="G67" s="91"/>
    </row>
    <row r="68" spans="1:9">
      <c r="A68" s="134">
        <v>46035</v>
      </c>
      <c r="B68" s="86">
        <v>46041</v>
      </c>
      <c r="C68" s="87" t="s">
        <v>143</v>
      </c>
      <c r="D68" s="88">
        <f>IFERROR(VLOOKUP(E68,Accounts!$B$2:$C$66,2,FALSE),0)</f>
        <v>6210</v>
      </c>
      <c r="E68" s="87" t="s">
        <v>102</v>
      </c>
      <c r="F68" s="89">
        <v>211865</v>
      </c>
      <c r="G68" s="91"/>
    </row>
    <row r="69" spans="1:9">
      <c r="A69" s="134">
        <v>46036</v>
      </c>
      <c r="B69" s="86">
        <v>46041</v>
      </c>
      <c r="C69" s="87" t="s">
        <v>144</v>
      </c>
      <c r="D69" s="88">
        <f>IFERROR(VLOOKUP(E69,Accounts!$B$2:$C$66,2,FALSE),0)</f>
        <v>2530</v>
      </c>
      <c r="E69" s="87" t="s">
        <v>104</v>
      </c>
      <c r="F69" s="89">
        <v>76271</v>
      </c>
      <c r="G69" s="91"/>
      <c r="I69" s="36"/>
    </row>
    <row r="70" spans="1:9">
      <c r="A70" s="134">
        <v>46037</v>
      </c>
      <c r="B70" s="86">
        <v>46041</v>
      </c>
      <c r="C70" s="87" t="s">
        <v>144</v>
      </c>
      <c r="D70" s="88">
        <f>IFERROR(VLOOKUP(E70,Accounts!$B$2:$C$66,2,FALSE),0)</f>
        <v>3020</v>
      </c>
      <c r="E70" s="87" t="s">
        <v>12</v>
      </c>
      <c r="F70" s="90"/>
      <c r="G70" s="68">
        <v>500000</v>
      </c>
    </row>
    <row r="71" spans="1:9">
      <c r="A71" s="134">
        <v>46038</v>
      </c>
      <c r="B71" s="86">
        <v>46043</v>
      </c>
      <c r="C71" s="87" t="s">
        <v>145</v>
      </c>
      <c r="D71" s="88">
        <f>IFERROR(VLOOKUP(E71,Accounts!$B$2:$C$66,2,FALSE),0)</f>
        <v>3020</v>
      </c>
      <c r="E71" s="87" t="s">
        <v>12</v>
      </c>
      <c r="F71" s="89">
        <v>1106360</v>
      </c>
      <c r="G71" s="91"/>
    </row>
    <row r="72" spans="1:9">
      <c r="A72" s="134">
        <v>46038</v>
      </c>
      <c r="B72" s="86">
        <v>46043</v>
      </c>
      <c r="C72" s="87" t="s">
        <v>145</v>
      </c>
      <c r="D72" s="88">
        <f>IFERROR(VLOOKUP(E72,Accounts!$B$2:$C$66,2,FALSE),0)</f>
        <v>3030</v>
      </c>
      <c r="E72" s="87" t="s">
        <v>13</v>
      </c>
      <c r="F72" s="89"/>
      <c r="G72" s="99">
        <v>65000</v>
      </c>
    </row>
    <row r="73" spans="1:9">
      <c r="A73" s="134">
        <v>46038</v>
      </c>
      <c r="B73" s="86">
        <v>46043</v>
      </c>
      <c r="C73" s="87" t="s">
        <v>145</v>
      </c>
      <c r="D73" s="88">
        <f>IFERROR(VLOOKUP(E73,Accounts!$B$2:$C$66,2,FALSE),0)</f>
        <v>7010</v>
      </c>
      <c r="E73" s="87" t="s">
        <v>50</v>
      </c>
      <c r="F73" s="89"/>
      <c r="G73" s="99">
        <v>65000</v>
      </c>
    </row>
    <row r="74" spans="1:9">
      <c r="A74" s="134">
        <v>46039</v>
      </c>
      <c r="B74" s="86">
        <v>46043</v>
      </c>
      <c r="C74" s="87" t="s">
        <v>145</v>
      </c>
      <c r="D74" s="88">
        <f>IFERROR(VLOOKUP(E74,Accounts!$B$2:$C$66,2,FALSE),0)</f>
        <v>3110</v>
      </c>
      <c r="E74" s="87" t="s">
        <v>68</v>
      </c>
      <c r="F74" s="90"/>
      <c r="G74" s="100">
        <v>976360</v>
      </c>
    </row>
    <row r="75" spans="1:9">
      <c r="A75" s="134">
        <v>46040</v>
      </c>
      <c r="B75" s="86">
        <v>46044</v>
      </c>
      <c r="C75" s="87" t="s">
        <v>110</v>
      </c>
      <c r="D75" s="88">
        <f>IFERROR(VLOOKUP(E75,Accounts!$B$2:$C$66,2,FALSE),0)</f>
        <v>3030</v>
      </c>
      <c r="E75" s="87" t="s">
        <v>13</v>
      </c>
      <c r="F75" s="89">
        <v>70800</v>
      </c>
      <c r="G75" s="91"/>
    </row>
    <row r="76" spans="1:9">
      <c r="A76" s="134">
        <v>46041</v>
      </c>
      <c r="B76" s="86">
        <v>46044</v>
      </c>
      <c r="C76" s="87" t="s">
        <v>110</v>
      </c>
      <c r="D76" s="88">
        <f>IFERROR(VLOOKUP(E76,Accounts!$B$2:$C$66,2,FALSE),0)</f>
        <v>3110</v>
      </c>
      <c r="E76" s="87" t="s">
        <v>68</v>
      </c>
      <c r="F76" s="89">
        <v>1500000</v>
      </c>
      <c r="G76" s="91"/>
    </row>
    <row r="77" spans="1:9">
      <c r="A77" s="134">
        <v>46042</v>
      </c>
      <c r="B77" s="86">
        <v>46044</v>
      </c>
      <c r="C77" s="87" t="s">
        <v>110</v>
      </c>
      <c r="D77" s="88">
        <f>IFERROR(VLOOKUP(E77,Accounts!$B$2:$C$66,2,FALSE),0)</f>
        <v>3020</v>
      </c>
      <c r="E77" s="87" t="s">
        <v>12</v>
      </c>
      <c r="F77" s="90"/>
      <c r="G77" s="68">
        <v>1500000</v>
      </c>
    </row>
    <row r="78" spans="1:9">
      <c r="A78" s="134">
        <v>46043</v>
      </c>
      <c r="B78" s="86">
        <v>46044</v>
      </c>
      <c r="C78" s="87" t="s">
        <v>110</v>
      </c>
      <c r="D78" s="88">
        <f>IFERROR(VLOOKUP(E78,Accounts!$B$2:$C$66,2,FALSE),0)</f>
        <v>7020</v>
      </c>
      <c r="E78" s="87" t="s">
        <v>51</v>
      </c>
      <c r="F78" s="90"/>
      <c r="G78" s="68">
        <v>60000</v>
      </c>
      <c r="I78" s="26"/>
    </row>
    <row r="79" spans="1:9">
      <c r="A79" s="134">
        <v>46044</v>
      </c>
      <c r="B79" s="86">
        <v>46044</v>
      </c>
      <c r="C79" s="87" t="s">
        <v>110</v>
      </c>
      <c r="D79" s="88">
        <f>IFERROR(VLOOKUP(E79,Accounts!$B$2:$C$66,2,FALSE),0)</f>
        <v>2530</v>
      </c>
      <c r="E79" s="87" t="s">
        <v>104</v>
      </c>
      <c r="F79" s="90"/>
      <c r="G79" s="68">
        <v>10800</v>
      </c>
    </row>
    <row r="80" spans="1:9">
      <c r="A80" s="134">
        <v>46045</v>
      </c>
      <c r="B80" s="86">
        <v>46046</v>
      </c>
      <c r="C80" s="87" t="s">
        <v>146</v>
      </c>
      <c r="D80" s="88">
        <f>IFERROR(VLOOKUP(E80,Accounts!$B$2:$C$66,2,FALSE),0)</f>
        <v>3020</v>
      </c>
      <c r="E80" s="87" t="s">
        <v>12</v>
      </c>
      <c r="F80" s="89">
        <v>100000</v>
      </c>
      <c r="G80" s="91"/>
    </row>
    <row r="81" spans="1:11">
      <c r="A81" s="134">
        <v>46045</v>
      </c>
      <c r="B81" s="86">
        <v>46046</v>
      </c>
      <c r="C81" s="87" t="s">
        <v>146</v>
      </c>
      <c r="D81" s="88">
        <f>IFERROR(VLOOKUP(E81,Accounts!$B$2:$C$66,2,FALSE),0)</f>
        <v>3030</v>
      </c>
      <c r="E81" s="87" t="s">
        <v>13</v>
      </c>
      <c r="F81" s="89"/>
      <c r="G81" s="101">
        <v>25000</v>
      </c>
    </row>
    <row r="82" spans="1:11">
      <c r="A82" s="134">
        <v>46045</v>
      </c>
      <c r="B82" s="86">
        <v>46046</v>
      </c>
      <c r="C82" s="87" t="s">
        <v>146</v>
      </c>
      <c r="D82" s="88">
        <f>IFERROR(VLOOKUP(E82,Accounts!$B$2:$C$66,2,FALSE),0)</f>
        <v>7010</v>
      </c>
      <c r="E82" s="87" t="s">
        <v>50</v>
      </c>
      <c r="F82" s="89"/>
      <c r="G82" s="101">
        <v>25000</v>
      </c>
    </row>
    <row r="83" spans="1:11">
      <c r="A83" s="134">
        <v>46046</v>
      </c>
      <c r="B83" s="86">
        <v>46046</v>
      </c>
      <c r="C83" s="87" t="s">
        <v>146</v>
      </c>
      <c r="D83" s="88">
        <f>IFERROR(VLOOKUP(E83,Accounts!$B$2:$C$66,2,FALSE),0)</f>
        <v>3110</v>
      </c>
      <c r="E83" s="87" t="s">
        <v>68</v>
      </c>
      <c r="F83" s="90"/>
      <c r="G83" s="100">
        <v>50000</v>
      </c>
    </row>
    <row r="84" spans="1:11">
      <c r="A84" s="134">
        <v>46047</v>
      </c>
      <c r="B84" s="86">
        <v>46048</v>
      </c>
      <c r="C84" s="87" t="s">
        <v>147</v>
      </c>
      <c r="D84" s="88">
        <f>IFERROR(VLOOKUP(E84,Accounts!$B$2:$C$66,2,FALSE),0)</f>
        <v>3020</v>
      </c>
      <c r="E84" s="87" t="s">
        <v>12</v>
      </c>
      <c r="F84" s="89">
        <v>520800</v>
      </c>
      <c r="G84" s="91"/>
    </row>
    <row r="85" spans="1:11">
      <c r="A85" s="134">
        <v>46048</v>
      </c>
      <c r="B85" s="86">
        <v>46048</v>
      </c>
      <c r="C85" s="87" t="s">
        <v>147</v>
      </c>
      <c r="D85" s="88">
        <f>IFERROR(VLOOKUP(E85,Accounts!$B$2:$C$66,2,FALSE),0)</f>
        <v>3030</v>
      </c>
      <c r="E85" s="87" t="s">
        <v>13</v>
      </c>
      <c r="F85" s="90"/>
      <c r="G85" s="68">
        <v>145800</v>
      </c>
    </row>
    <row r="86" spans="1:11">
      <c r="A86" s="134">
        <v>46049</v>
      </c>
      <c r="B86" s="86">
        <v>46048</v>
      </c>
      <c r="C86" s="87" t="s">
        <v>147</v>
      </c>
      <c r="D86" s="88">
        <f>IFERROR(VLOOKUP(E86,Accounts!$B$2:$C$66,2,FALSE),0)</f>
        <v>7010</v>
      </c>
      <c r="E86" s="87" t="s">
        <v>50</v>
      </c>
      <c r="F86" s="90"/>
      <c r="G86" s="68">
        <v>75000</v>
      </c>
    </row>
    <row r="87" spans="1:11">
      <c r="A87" s="134">
        <v>46050</v>
      </c>
      <c r="B87" s="86">
        <v>46048</v>
      </c>
      <c r="C87" s="87" t="s">
        <v>147</v>
      </c>
      <c r="D87" s="88">
        <f>IFERROR(VLOOKUP(E87,Accounts!$B$2:$C$66,2,FALSE),0)</f>
        <v>3110</v>
      </c>
      <c r="E87" s="87" t="s">
        <v>68</v>
      </c>
      <c r="F87" s="90"/>
      <c r="G87" s="68">
        <v>300000</v>
      </c>
      <c r="I87" s="26"/>
      <c r="J87" s="26"/>
      <c r="K87" s="26"/>
    </row>
    <row r="88" spans="1:11">
      <c r="A88" s="134">
        <v>46051</v>
      </c>
      <c r="B88" s="86">
        <v>46049</v>
      </c>
      <c r="C88" s="87" t="s">
        <v>148</v>
      </c>
      <c r="D88" s="88">
        <f>IFERROR(VLOOKUP(E88,Accounts!$B$2:$C$66,2,FALSE),0)</f>
        <v>3020</v>
      </c>
      <c r="E88" s="87" t="s">
        <v>12</v>
      </c>
      <c r="F88" s="89">
        <v>259440</v>
      </c>
      <c r="G88" s="91"/>
    </row>
    <row r="89" spans="1:11">
      <c r="A89" s="134">
        <v>46052</v>
      </c>
      <c r="B89" s="86">
        <v>46049</v>
      </c>
      <c r="C89" s="87" t="s">
        <v>148</v>
      </c>
      <c r="D89" s="88">
        <f>IFERROR(VLOOKUP(E89,Accounts!$B$2:$C$66,2,FALSE),0)</f>
        <v>3030</v>
      </c>
      <c r="E89" s="87" t="s">
        <v>13</v>
      </c>
      <c r="F89" s="90"/>
      <c r="G89" s="68">
        <v>97200</v>
      </c>
    </row>
    <row r="90" spans="1:11">
      <c r="A90" s="134">
        <v>46053</v>
      </c>
      <c r="B90" s="86">
        <v>46049</v>
      </c>
      <c r="C90" s="87" t="s">
        <v>148</v>
      </c>
      <c r="D90" s="88">
        <f>IFERROR(VLOOKUP(E90,Accounts!$B$2:$C$66,2,FALSE),0)</f>
        <v>7010</v>
      </c>
      <c r="E90" s="87" t="s">
        <v>50</v>
      </c>
      <c r="F90" s="90"/>
      <c r="G90" s="68">
        <v>50000</v>
      </c>
    </row>
    <row r="91" spans="1:11">
      <c r="A91" s="134">
        <v>46053</v>
      </c>
      <c r="B91" s="86">
        <v>46049</v>
      </c>
      <c r="C91" s="87" t="s">
        <v>148</v>
      </c>
      <c r="D91" s="88">
        <f>IFERROR(VLOOKUP(E91,Accounts!$B$2:$C$66,2,FALSE),0)</f>
        <v>3110</v>
      </c>
      <c r="E91" s="87" t="s">
        <v>68</v>
      </c>
      <c r="F91" s="90"/>
      <c r="G91" s="68">
        <v>112240</v>
      </c>
    </row>
    <row r="92" spans="1:11">
      <c r="A92" s="134">
        <v>46053</v>
      </c>
      <c r="B92" s="86">
        <v>46049</v>
      </c>
      <c r="C92" s="87" t="s">
        <v>149</v>
      </c>
      <c r="D92" s="88">
        <f>IFERROR(VLOOKUP(E92,Accounts!$B$2:$C$66,2,FALSE),0)</f>
        <v>3020</v>
      </c>
      <c r="E92" s="87" t="s">
        <v>12</v>
      </c>
      <c r="F92" s="89">
        <v>1200000</v>
      </c>
      <c r="G92" s="91"/>
    </row>
    <row r="93" spans="1:11">
      <c r="A93" s="134">
        <v>46053</v>
      </c>
      <c r="B93" s="86">
        <v>46049</v>
      </c>
      <c r="C93" s="87" t="s">
        <v>149</v>
      </c>
      <c r="D93" s="88">
        <f>IFERROR(VLOOKUP(E93,Accounts!$B$2:$C$66,2,FALSE),0)</f>
        <v>3110</v>
      </c>
      <c r="E93" s="87" t="s">
        <v>68</v>
      </c>
      <c r="F93" s="90"/>
      <c r="G93" s="100">
        <v>1200000</v>
      </c>
    </row>
    <row r="94" spans="1:11">
      <c r="A94" s="134">
        <v>46023</v>
      </c>
      <c r="B94" s="86">
        <v>46050</v>
      </c>
      <c r="C94" s="87" t="s">
        <v>115</v>
      </c>
      <c r="D94" s="88">
        <f>IFERROR(VLOOKUP(E94,Accounts!$B$2:$C$66,2,FALSE),0)</f>
        <v>6280</v>
      </c>
      <c r="E94" s="87" t="s">
        <v>67</v>
      </c>
      <c r="F94" s="89">
        <v>500</v>
      </c>
      <c r="G94" s="68"/>
    </row>
    <row r="95" spans="1:11">
      <c r="A95" s="134">
        <v>46023</v>
      </c>
      <c r="B95" s="86">
        <v>46050</v>
      </c>
      <c r="C95" s="87" t="s">
        <v>115</v>
      </c>
      <c r="D95" s="88">
        <f>IFERROR(VLOOKUP(E95,Accounts!$B$2:$C$66,2,FALSE),0)</f>
        <v>3020</v>
      </c>
      <c r="E95" s="87" t="s">
        <v>12</v>
      </c>
      <c r="F95" s="89"/>
      <c r="G95" s="68">
        <v>500</v>
      </c>
    </row>
    <row r="96" spans="1:11">
      <c r="A96" s="136">
        <v>46024</v>
      </c>
      <c r="B96" s="92">
        <v>46050</v>
      </c>
      <c r="C96" s="93" t="s">
        <v>150</v>
      </c>
      <c r="D96" s="94">
        <f>IFERROR(VLOOKUP(E96,Accounts!$B$2:$C$66,2,FALSE),0)</f>
        <v>6110</v>
      </c>
      <c r="E96" s="93" t="s">
        <v>38</v>
      </c>
      <c r="F96" s="95">
        <v>541501</v>
      </c>
      <c r="G96" s="96"/>
    </row>
    <row r="97" spans="1:7">
      <c r="A97" s="136">
        <v>46025</v>
      </c>
      <c r="B97" s="92">
        <v>46050</v>
      </c>
      <c r="C97" s="93" t="s">
        <v>150</v>
      </c>
      <c r="D97" s="94">
        <f>IFERROR(VLOOKUP(E97,Accounts!$B$2:$C$66,2,FALSE),0)</f>
        <v>2540</v>
      </c>
      <c r="E97" s="93" t="s">
        <v>71</v>
      </c>
      <c r="F97" s="95"/>
      <c r="G97" s="96">
        <v>114000</v>
      </c>
    </row>
    <row r="98" spans="1:7">
      <c r="A98" s="136">
        <v>46026</v>
      </c>
      <c r="B98" s="92">
        <v>46050</v>
      </c>
      <c r="C98" s="93" t="s">
        <v>150</v>
      </c>
      <c r="D98" s="94">
        <f>IFERROR(VLOOKUP(E98,Accounts!$B$2:$C$66,2,FALSE),0)</f>
        <v>2550</v>
      </c>
      <c r="E98" s="93" t="s">
        <v>97</v>
      </c>
      <c r="F98" s="95"/>
      <c r="G98" s="96">
        <v>3000</v>
      </c>
    </row>
    <row r="99" spans="1:7">
      <c r="A99" s="136">
        <v>46027</v>
      </c>
      <c r="B99" s="92">
        <v>46050</v>
      </c>
      <c r="C99" s="93" t="s">
        <v>150</v>
      </c>
      <c r="D99" s="94">
        <f>IFERROR(VLOOKUP(E99,Accounts!$B$2:$C$66,2,FALSE),0)</f>
        <v>2560</v>
      </c>
      <c r="E99" s="93" t="s">
        <v>98</v>
      </c>
      <c r="F99" s="95"/>
      <c r="G99" s="96">
        <v>70000</v>
      </c>
    </row>
    <row r="100" spans="1:7">
      <c r="A100" s="136">
        <v>46028</v>
      </c>
      <c r="B100" s="92">
        <v>46050</v>
      </c>
      <c r="C100" s="93" t="s">
        <v>150</v>
      </c>
      <c r="D100" s="94">
        <f>IFERROR(VLOOKUP(E100,Accounts!$B$2:$C$66,2,FALSE),0)</f>
        <v>2570</v>
      </c>
      <c r="E100" s="93" t="s">
        <v>99</v>
      </c>
      <c r="F100" s="95"/>
      <c r="G100" s="96">
        <v>1773</v>
      </c>
    </row>
    <row r="101" spans="1:7">
      <c r="A101" s="136">
        <v>46029</v>
      </c>
      <c r="B101" s="92">
        <v>46050</v>
      </c>
      <c r="C101" s="93" t="s">
        <v>150</v>
      </c>
      <c r="D101" s="94">
        <f>IFERROR(VLOOKUP(E101,Accounts!$B$2:$C$66,2,FALSE),0)</f>
        <v>2580</v>
      </c>
      <c r="E101" s="93" t="s">
        <v>100</v>
      </c>
      <c r="F101" s="95"/>
      <c r="G101" s="96">
        <v>352728</v>
      </c>
    </row>
    <row r="102" spans="1:7">
      <c r="A102" s="134">
        <v>46030</v>
      </c>
      <c r="B102" s="86">
        <v>46050</v>
      </c>
      <c r="C102" s="87" t="s">
        <v>151</v>
      </c>
      <c r="D102" s="88">
        <f>IFERROR(VLOOKUP(E102,Accounts!$B$2:$C$66,2,FALSE),0)</f>
        <v>2580</v>
      </c>
      <c r="E102" s="87" t="s">
        <v>100</v>
      </c>
      <c r="F102" s="89">
        <v>352728</v>
      </c>
      <c r="G102" s="68"/>
    </row>
    <row r="103" spans="1:7">
      <c r="A103" s="134">
        <v>46031</v>
      </c>
      <c r="B103" s="86">
        <v>46050</v>
      </c>
      <c r="C103" s="87" t="s">
        <v>151</v>
      </c>
      <c r="D103" s="88">
        <f>IFERROR(VLOOKUP(E103,Accounts!$B$2:$C$66,2,FALSE),0)</f>
        <v>3020</v>
      </c>
      <c r="E103" s="87" t="s">
        <v>12</v>
      </c>
      <c r="F103" s="89"/>
      <c r="G103" s="68">
        <v>352728</v>
      </c>
    </row>
    <row r="104" spans="1:7">
      <c r="A104" s="134">
        <v>46032</v>
      </c>
      <c r="B104" s="86">
        <v>46053</v>
      </c>
      <c r="C104" s="87" t="s">
        <v>111</v>
      </c>
      <c r="D104" s="88">
        <f>IFERROR(VLOOKUP(E104,Accounts!$B$2:$C$66,2,FALSE),0)</f>
        <v>6280</v>
      </c>
      <c r="E104" s="87" t="s">
        <v>67</v>
      </c>
      <c r="F104" s="89">
        <v>2000</v>
      </c>
      <c r="G104" s="68"/>
    </row>
    <row r="105" spans="1:7">
      <c r="A105" s="134">
        <v>46033</v>
      </c>
      <c r="B105" s="86">
        <v>46053</v>
      </c>
      <c r="C105" s="87" t="s">
        <v>111</v>
      </c>
      <c r="D105" s="88">
        <f>IFERROR(VLOOKUP(E105,Accounts!$B$2:$C$66,2,FALSE),0)</f>
        <v>3020</v>
      </c>
      <c r="E105" s="87" t="s">
        <v>12</v>
      </c>
      <c r="F105" s="89"/>
      <c r="G105" s="68">
        <v>2000</v>
      </c>
    </row>
    <row r="106" spans="1:7">
      <c r="A106" s="134">
        <v>46054</v>
      </c>
      <c r="B106" s="86">
        <v>46055</v>
      </c>
      <c r="C106" s="87" t="s">
        <v>153</v>
      </c>
      <c r="D106" s="88">
        <f>IFERROR(VLOOKUP(E106,Accounts!$B$2:$C$66,2,FALSE),0)</f>
        <v>3020</v>
      </c>
      <c r="E106" s="87" t="s">
        <v>12</v>
      </c>
      <c r="F106" s="89">
        <v>340200</v>
      </c>
      <c r="G106" s="91"/>
    </row>
    <row r="107" spans="1:7">
      <c r="A107" s="134">
        <v>46054</v>
      </c>
      <c r="B107" s="86">
        <v>46055</v>
      </c>
      <c r="C107" s="87" t="s">
        <v>153</v>
      </c>
      <c r="D107" s="88">
        <f>IFERROR(VLOOKUP(E107,Accounts!$B$2:$C$66,2,FALSE),0)</f>
        <v>3030</v>
      </c>
      <c r="E107" s="87" t="s">
        <v>13</v>
      </c>
      <c r="F107" s="90"/>
      <c r="G107" s="68">
        <v>165200</v>
      </c>
    </row>
    <row r="108" spans="1:7">
      <c r="A108" s="134">
        <v>46054</v>
      </c>
      <c r="B108" s="86">
        <v>46055</v>
      </c>
      <c r="C108" s="87" t="s">
        <v>153</v>
      </c>
      <c r="D108" s="88">
        <f>IFERROR(VLOOKUP(E108,Accounts!$B$2:$C$66,2,FALSE),0)</f>
        <v>7010</v>
      </c>
      <c r="E108" s="87" t="s">
        <v>50</v>
      </c>
      <c r="F108" s="90"/>
      <c r="G108" s="68">
        <v>175000</v>
      </c>
    </row>
    <row r="109" spans="1:7">
      <c r="A109" s="134">
        <v>46054</v>
      </c>
      <c r="B109" s="86">
        <v>46057</v>
      </c>
      <c r="C109" s="87" t="s">
        <v>154</v>
      </c>
      <c r="D109" s="88">
        <f>IFERROR(VLOOKUP(E109,Accounts!$B$2:$C$66,2,FALSE),0)</f>
        <v>3030</v>
      </c>
      <c r="E109" s="87" t="s">
        <v>13</v>
      </c>
      <c r="F109" s="89">
        <v>23600</v>
      </c>
      <c r="G109" s="91"/>
    </row>
    <row r="110" spans="1:7">
      <c r="A110" s="134">
        <v>46054</v>
      </c>
      <c r="B110" s="86">
        <v>46057</v>
      </c>
      <c r="C110" s="87" t="s">
        <v>154</v>
      </c>
      <c r="D110" s="88">
        <f>IFERROR(VLOOKUP(E110,Accounts!$B$2:$C$66,2,FALSE),0)</f>
        <v>3110</v>
      </c>
      <c r="E110" s="87" t="s">
        <v>68</v>
      </c>
      <c r="F110" s="89">
        <v>500000</v>
      </c>
      <c r="G110" s="91"/>
    </row>
    <row r="111" spans="1:7">
      <c r="A111" s="134">
        <v>46054</v>
      </c>
      <c r="B111" s="86">
        <v>46057</v>
      </c>
      <c r="C111" s="87" t="s">
        <v>154</v>
      </c>
      <c r="D111" s="88">
        <f>IFERROR(VLOOKUP(E111,Accounts!$B$2:$C$66,2,FALSE),0)</f>
        <v>3020</v>
      </c>
      <c r="E111" s="87" t="s">
        <v>12</v>
      </c>
      <c r="F111" s="90"/>
      <c r="G111" s="68">
        <v>500000</v>
      </c>
    </row>
    <row r="112" spans="1:7">
      <c r="A112" s="134">
        <v>46054</v>
      </c>
      <c r="B112" s="86">
        <v>46057</v>
      </c>
      <c r="C112" s="87" t="s">
        <v>154</v>
      </c>
      <c r="D112" s="88">
        <f>IFERROR(VLOOKUP(E112,Accounts!$B$2:$C$66,2,FALSE),0)</f>
        <v>7020</v>
      </c>
      <c r="E112" s="87" t="s">
        <v>51</v>
      </c>
      <c r="F112" s="90"/>
      <c r="G112" s="68">
        <v>20000</v>
      </c>
    </row>
    <row r="113" spans="1:9">
      <c r="A113" s="134">
        <v>46054</v>
      </c>
      <c r="B113" s="86">
        <v>46057</v>
      </c>
      <c r="C113" s="87" t="s">
        <v>154</v>
      </c>
      <c r="D113" s="88">
        <f>IFERROR(VLOOKUP(E113,Accounts!$B$2:$C$66,2,FALSE),0)</f>
        <v>2530</v>
      </c>
      <c r="E113" s="87" t="s">
        <v>104</v>
      </c>
      <c r="F113" s="90"/>
      <c r="G113" s="68">
        <v>3600</v>
      </c>
    </row>
    <row r="114" spans="1:9">
      <c r="A114" s="134">
        <v>46055</v>
      </c>
      <c r="B114" s="86">
        <v>46057</v>
      </c>
      <c r="C114" s="87" t="s">
        <v>155</v>
      </c>
      <c r="D114" s="88">
        <f>IFERROR(VLOOKUP(E114,Accounts!$B$2:$C$66,2,FALSE),0)</f>
        <v>2570</v>
      </c>
      <c r="E114" s="87" t="s">
        <v>99</v>
      </c>
      <c r="F114" s="89">
        <v>1773</v>
      </c>
      <c r="G114" s="91"/>
    </row>
    <row r="115" spans="1:9">
      <c r="A115" s="134">
        <v>46056</v>
      </c>
      <c r="B115" s="86">
        <v>46057</v>
      </c>
      <c r="C115" s="87" t="s">
        <v>155</v>
      </c>
      <c r="D115" s="88">
        <f>IFERROR(VLOOKUP(E115,Accounts!$B$2:$C$66,2,FALSE),0)</f>
        <v>3020</v>
      </c>
      <c r="E115" s="87" t="s">
        <v>12</v>
      </c>
      <c r="F115" s="90"/>
      <c r="G115" s="60">
        <v>1773</v>
      </c>
    </row>
    <row r="116" spans="1:9">
      <c r="A116" s="134">
        <v>46057</v>
      </c>
      <c r="B116" s="86">
        <v>46057</v>
      </c>
      <c r="C116" s="87" t="s">
        <v>114</v>
      </c>
      <c r="D116" s="88">
        <f>IFERROR(VLOOKUP(E116,Accounts!$B$2:$C$66,2,FALSE),0)</f>
        <v>6280</v>
      </c>
      <c r="E116" s="87" t="s">
        <v>67</v>
      </c>
      <c r="F116" s="89">
        <v>500</v>
      </c>
      <c r="G116" s="91"/>
    </row>
    <row r="117" spans="1:9">
      <c r="A117" s="134">
        <v>46058</v>
      </c>
      <c r="B117" s="86">
        <v>46057</v>
      </c>
      <c r="C117" s="87" t="s">
        <v>114</v>
      </c>
      <c r="D117" s="88">
        <f>IFERROR(VLOOKUP(E117,Accounts!$B$2:$C$66,2,FALSE),0)</f>
        <v>3020</v>
      </c>
      <c r="E117" s="87" t="s">
        <v>12</v>
      </c>
      <c r="F117" s="90"/>
      <c r="G117" s="102">
        <v>500</v>
      </c>
    </row>
    <row r="118" spans="1:9">
      <c r="A118" s="134">
        <v>46059</v>
      </c>
      <c r="B118" s="86">
        <v>46057</v>
      </c>
      <c r="C118" s="87" t="s">
        <v>156</v>
      </c>
      <c r="D118" s="88">
        <f>IFERROR(VLOOKUP(E118,Accounts!$B$2:$C$66,2,FALSE),0)</f>
        <v>2540</v>
      </c>
      <c r="E118" s="87" t="s">
        <v>71</v>
      </c>
      <c r="F118" s="89">
        <v>114000</v>
      </c>
      <c r="G118" s="91"/>
    </row>
    <row r="119" spans="1:9">
      <c r="A119" s="134">
        <v>46060</v>
      </c>
      <c r="B119" s="86">
        <v>46057</v>
      </c>
      <c r="C119" s="87" t="s">
        <v>156</v>
      </c>
      <c r="D119" s="88">
        <f>IFERROR(VLOOKUP(E119,Accounts!$B$2:$C$66,2,FALSE),0)</f>
        <v>3020</v>
      </c>
      <c r="E119" s="87" t="s">
        <v>12</v>
      </c>
      <c r="F119" s="90"/>
      <c r="G119" s="60">
        <v>114000</v>
      </c>
    </row>
    <row r="120" spans="1:9">
      <c r="A120" s="134">
        <v>46061</v>
      </c>
      <c r="B120" s="86">
        <v>46057</v>
      </c>
      <c r="C120" s="87" t="s">
        <v>158</v>
      </c>
      <c r="D120" s="88">
        <f>IFERROR(VLOOKUP(E120,Accounts!$B$2:$C$66,2,FALSE),0)</f>
        <v>2560</v>
      </c>
      <c r="E120" s="87" t="s">
        <v>98</v>
      </c>
      <c r="F120" s="89">
        <v>70000</v>
      </c>
      <c r="G120" s="91"/>
    </row>
    <row r="121" spans="1:9">
      <c r="A121" s="134">
        <v>46062</v>
      </c>
      <c r="B121" s="86">
        <v>46057</v>
      </c>
      <c r="C121" s="87" t="s">
        <v>158</v>
      </c>
      <c r="D121" s="88">
        <f>IFERROR(VLOOKUP(E121,Accounts!$B$2:$C$66,2,FALSE),0)</f>
        <v>3020</v>
      </c>
      <c r="E121" s="87" t="s">
        <v>12</v>
      </c>
      <c r="F121" s="90"/>
      <c r="G121" s="60">
        <v>70000</v>
      </c>
    </row>
    <row r="122" spans="1:9">
      <c r="A122" s="134">
        <v>46063</v>
      </c>
      <c r="B122" s="86">
        <v>46057</v>
      </c>
      <c r="C122" s="87" t="s">
        <v>157</v>
      </c>
      <c r="D122" s="88">
        <f>IFERROR(VLOOKUP(E122,Accounts!$B$2:$C$66,2,FALSE),0)</f>
        <v>2550</v>
      </c>
      <c r="E122" s="87" t="s">
        <v>97</v>
      </c>
      <c r="F122" s="89">
        <v>3000</v>
      </c>
      <c r="G122" s="91"/>
    </row>
    <row r="123" spans="1:9">
      <c r="A123" s="134">
        <v>46064</v>
      </c>
      <c r="B123" s="86">
        <v>46057</v>
      </c>
      <c r="C123" s="87" t="s">
        <v>157</v>
      </c>
      <c r="D123" s="88">
        <f>IFERROR(VLOOKUP(E123,Accounts!$B$2:$C$66,2,FALSE),0)</f>
        <v>3020</v>
      </c>
      <c r="E123" s="87" t="s">
        <v>12</v>
      </c>
      <c r="F123" s="90"/>
      <c r="G123" s="60">
        <v>3000</v>
      </c>
    </row>
    <row r="124" spans="1:9">
      <c r="A124" s="134">
        <v>46066</v>
      </c>
      <c r="B124" s="86">
        <v>46058</v>
      </c>
      <c r="C124" s="87" t="s">
        <v>187</v>
      </c>
      <c r="D124" s="88">
        <f>IFERROR(VLOOKUP(E124,Accounts!$B$2:$C$66,2,FALSE),0)</f>
        <v>3030</v>
      </c>
      <c r="E124" s="87" t="s">
        <v>13</v>
      </c>
      <c r="F124" s="89">
        <v>472000</v>
      </c>
      <c r="G124" s="91"/>
    </row>
    <row r="125" spans="1:9">
      <c r="A125" s="134">
        <v>46066</v>
      </c>
      <c r="B125" s="86">
        <v>46058</v>
      </c>
      <c r="C125" s="87" t="s">
        <v>187</v>
      </c>
      <c r="D125" s="88">
        <f>IFERROR(VLOOKUP(E125,Accounts!$B$2:$C$66,2,FALSE),0)</f>
        <v>3110</v>
      </c>
      <c r="E125" s="87" t="s">
        <v>68</v>
      </c>
      <c r="F125" s="89">
        <v>10000000</v>
      </c>
      <c r="G125" s="91"/>
    </row>
    <row r="126" spans="1:9">
      <c r="A126" s="134">
        <v>46066</v>
      </c>
      <c r="B126" s="86">
        <v>46058</v>
      </c>
      <c r="C126" s="87" t="s">
        <v>187</v>
      </c>
      <c r="D126" s="88">
        <f>IFERROR(VLOOKUP(E126,Accounts!$B$2:$C$66,2,FALSE),0)</f>
        <v>3020</v>
      </c>
      <c r="E126" s="87" t="s">
        <v>12</v>
      </c>
      <c r="F126" s="90"/>
      <c r="G126" s="103">
        <v>10000000</v>
      </c>
    </row>
    <row r="127" spans="1:9">
      <c r="A127" s="134">
        <v>46066</v>
      </c>
      <c r="B127" s="86">
        <v>46058</v>
      </c>
      <c r="C127" s="87" t="s">
        <v>187</v>
      </c>
      <c r="D127" s="88">
        <f>IFERROR(VLOOKUP(E127,Accounts!$B$2:$C$66,2,FALSE),0)</f>
        <v>7020</v>
      </c>
      <c r="E127" s="87" t="s">
        <v>51</v>
      </c>
      <c r="F127" s="90"/>
      <c r="G127" s="68">
        <v>400000</v>
      </c>
      <c r="I127" s="26"/>
    </row>
    <row r="128" spans="1:9">
      <c r="A128" s="134">
        <v>46066</v>
      </c>
      <c r="B128" s="86">
        <v>46058</v>
      </c>
      <c r="C128" s="87" t="s">
        <v>187</v>
      </c>
      <c r="D128" s="88">
        <f>IFERROR(VLOOKUP(E128,Accounts!$B$2:$C$66,2,FALSE),0)</f>
        <v>2530</v>
      </c>
      <c r="E128" s="87" t="s">
        <v>104</v>
      </c>
      <c r="F128" s="90"/>
      <c r="G128" s="91">
        <v>72000</v>
      </c>
      <c r="I128" s="26"/>
    </row>
    <row r="129" spans="1:9">
      <c r="A129" s="134">
        <v>46066</v>
      </c>
      <c r="B129" s="86">
        <v>46058</v>
      </c>
      <c r="C129" s="87" t="s">
        <v>115</v>
      </c>
      <c r="D129" s="88">
        <f>IFERROR(VLOOKUP(E129,Accounts!$B$2:$C$66,2,FALSE),0)</f>
        <v>6280</v>
      </c>
      <c r="E129" s="87" t="s">
        <v>67</v>
      </c>
      <c r="F129" s="90">
        <v>500</v>
      </c>
      <c r="G129" s="91"/>
      <c r="I129" s="26"/>
    </row>
    <row r="130" spans="1:9">
      <c r="A130" s="134">
        <v>46066</v>
      </c>
      <c r="B130" s="86">
        <v>46058</v>
      </c>
      <c r="C130" s="87" t="s">
        <v>115</v>
      </c>
      <c r="D130" s="88">
        <f>IFERROR(VLOOKUP(E130,Accounts!$B$2:$C$66,2,FALSE),0)</f>
        <v>3020</v>
      </c>
      <c r="E130" s="87" t="s">
        <v>12</v>
      </c>
      <c r="F130" s="90"/>
      <c r="G130" s="91">
        <v>500</v>
      </c>
      <c r="I130" s="26"/>
    </row>
    <row r="131" spans="1:9">
      <c r="A131" s="134">
        <v>46067</v>
      </c>
      <c r="B131" s="86">
        <v>46063</v>
      </c>
      <c r="C131" s="87" t="s">
        <v>159</v>
      </c>
      <c r="D131" s="88">
        <f>IFERROR(VLOOKUP(E131,Accounts!$B$2:$C$66,2,FALSE),0)</f>
        <v>3030</v>
      </c>
      <c r="E131" s="87" t="s">
        <v>13</v>
      </c>
      <c r="F131" s="89">
        <v>23600</v>
      </c>
      <c r="G131" s="91"/>
    </row>
    <row r="132" spans="1:9">
      <c r="A132" s="134">
        <v>46068</v>
      </c>
      <c r="B132" s="86">
        <v>46063</v>
      </c>
      <c r="C132" s="87" t="s">
        <v>159</v>
      </c>
      <c r="D132" s="88">
        <f>IFERROR(VLOOKUP(E132,Accounts!$B$2:$C$66,2,FALSE),0)</f>
        <v>3110</v>
      </c>
      <c r="E132" s="87" t="s">
        <v>68</v>
      </c>
      <c r="F132" s="89">
        <v>500000</v>
      </c>
      <c r="G132" s="91"/>
    </row>
    <row r="133" spans="1:9">
      <c r="A133" s="134">
        <v>46069</v>
      </c>
      <c r="B133" s="86">
        <v>46063</v>
      </c>
      <c r="C133" s="87" t="s">
        <v>159</v>
      </c>
      <c r="D133" s="88">
        <f>IFERROR(VLOOKUP(E133,Accounts!$B$2:$C$66,2,FALSE),0)</f>
        <v>3020</v>
      </c>
      <c r="E133" s="87" t="s">
        <v>12</v>
      </c>
      <c r="F133" s="90"/>
      <c r="G133" s="68">
        <v>500000</v>
      </c>
    </row>
    <row r="134" spans="1:9">
      <c r="A134" s="134">
        <v>46070</v>
      </c>
      <c r="B134" s="86">
        <v>46063</v>
      </c>
      <c r="C134" s="87" t="s">
        <v>159</v>
      </c>
      <c r="D134" s="88">
        <f>IFERROR(VLOOKUP(E134,Accounts!$B$2:$C$66,2,FALSE),0)</f>
        <v>7020</v>
      </c>
      <c r="E134" s="87" t="s">
        <v>51</v>
      </c>
      <c r="F134" s="90"/>
      <c r="G134" s="68">
        <v>20000</v>
      </c>
    </row>
    <row r="135" spans="1:9">
      <c r="A135" s="134">
        <v>46071</v>
      </c>
      <c r="B135" s="86">
        <v>46063</v>
      </c>
      <c r="C135" s="87" t="s">
        <v>159</v>
      </c>
      <c r="D135" s="88">
        <f>IFERROR(VLOOKUP(E135,Accounts!$B$2:$C$66,2,FALSE),0)</f>
        <v>2530</v>
      </c>
      <c r="E135" s="87" t="s">
        <v>104</v>
      </c>
      <c r="F135" s="90"/>
      <c r="G135" s="68">
        <v>3600</v>
      </c>
    </row>
    <row r="136" spans="1:9">
      <c r="A136" s="134">
        <v>46072</v>
      </c>
      <c r="B136" s="86">
        <v>46065</v>
      </c>
      <c r="C136" s="87" t="s">
        <v>114</v>
      </c>
      <c r="D136" s="88">
        <f>IFERROR(VLOOKUP(E136,Accounts!$B$2:$C$66,2,FALSE),0)</f>
        <v>6280</v>
      </c>
      <c r="E136" s="87" t="s">
        <v>67</v>
      </c>
      <c r="F136" s="90">
        <v>90</v>
      </c>
      <c r="G136" s="91"/>
    </row>
    <row r="137" spans="1:9">
      <c r="A137" s="134">
        <v>46073</v>
      </c>
      <c r="B137" s="86">
        <v>46065</v>
      </c>
      <c r="C137" s="87" t="s">
        <v>114</v>
      </c>
      <c r="D137" s="88">
        <f>IFERROR(VLOOKUP(E137,Accounts!$B$2:$C$66,2,FALSE),0)</f>
        <v>3020</v>
      </c>
      <c r="E137" s="87" t="s">
        <v>12</v>
      </c>
      <c r="F137" s="90"/>
      <c r="G137" s="91">
        <v>90</v>
      </c>
    </row>
    <row r="138" spans="1:9">
      <c r="A138" s="134">
        <v>46074</v>
      </c>
      <c r="B138" s="86">
        <v>46065</v>
      </c>
      <c r="C138" s="87" t="s">
        <v>112</v>
      </c>
      <c r="D138" s="88">
        <f>IFERROR(VLOOKUP(E138,Accounts!$B$2:$C$66,2,FALSE),0)</f>
        <v>6280</v>
      </c>
      <c r="E138" s="87" t="s">
        <v>67</v>
      </c>
      <c r="F138" s="90">
        <v>500</v>
      </c>
      <c r="G138" s="91"/>
    </row>
    <row r="139" spans="1:9">
      <c r="A139" s="134">
        <v>46075</v>
      </c>
      <c r="B139" s="86">
        <v>46065</v>
      </c>
      <c r="C139" s="87" t="s">
        <v>112</v>
      </c>
      <c r="D139" s="88">
        <f>IFERROR(VLOOKUP(E139,Accounts!$B$2:$C$66,2,FALSE),0)</f>
        <v>3020</v>
      </c>
      <c r="E139" s="87" t="s">
        <v>12</v>
      </c>
      <c r="F139" s="90"/>
      <c r="G139" s="91">
        <v>500</v>
      </c>
    </row>
    <row r="140" spans="1:9">
      <c r="A140" s="134">
        <v>46074</v>
      </c>
      <c r="B140" s="86">
        <v>46065</v>
      </c>
      <c r="C140" s="87" t="s">
        <v>112</v>
      </c>
      <c r="D140" s="88">
        <f>IFERROR(VLOOKUP(E140,Accounts!$B$2:$C$66,2,FALSE),0)</f>
        <v>3010</v>
      </c>
      <c r="E140" s="87" t="s">
        <v>11</v>
      </c>
      <c r="F140" s="89">
        <v>50000</v>
      </c>
      <c r="G140" s="68"/>
    </row>
    <row r="141" spans="1:9">
      <c r="A141" s="134">
        <v>46075</v>
      </c>
      <c r="B141" s="86">
        <v>46065</v>
      </c>
      <c r="C141" s="87" t="s">
        <v>112</v>
      </c>
      <c r="D141" s="88">
        <f>IFERROR(VLOOKUP(E141,Accounts!$B$2:$C$66,2,FALSE),0)</f>
        <v>3020</v>
      </c>
      <c r="E141" s="87" t="s">
        <v>12</v>
      </c>
      <c r="F141" s="89"/>
      <c r="G141" s="68">
        <v>50000</v>
      </c>
    </row>
    <row r="142" spans="1:9">
      <c r="A142" s="134">
        <v>46076</v>
      </c>
      <c r="B142" s="86">
        <v>46066</v>
      </c>
      <c r="C142" s="87" t="s">
        <v>160</v>
      </c>
      <c r="D142" s="88">
        <f>IFERROR(VLOOKUP(E142,Accounts!$B$2:$C$66,2,FALSE),0)</f>
        <v>3030</v>
      </c>
      <c r="E142" s="87" t="s">
        <v>13</v>
      </c>
      <c r="F142" s="89">
        <v>118000</v>
      </c>
      <c r="G142" s="91"/>
    </row>
    <row r="143" spans="1:9">
      <c r="A143" s="134">
        <v>46077</v>
      </c>
      <c r="B143" s="86">
        <v>46066</v>
      </c>
      <c r="C143" s="87" t="s">
        <v>160</v>
      </c>
      <c r="D143" s="88">
        <f>IFERROR(VLOOKUP(E143,Accounts!$B$2:$C$66,2,FALSE),0)</f>
        <v>3110</v>
      </c>
      <c r="E143" s="87" t="s">
        <v>68</v>
      </c>
      <c r="F143" s="89">
        <v>2500000</v>
      </c>
      <c r="G143" s="91"/>
    </row>
    <row r="144" spans="1:9">
      <c r="A144" s="134">
        <v>46078</v>
      </c>
      <c r="B144" s="86">
        <v>46066</v>
      </c>
      <c r="C144" s="87" t="s">
        <v>160</v>
      </c>
      <c r="D144" s="88">
        <f>IFERROR(VLOOKUP(E144,Accounts!$B$2:$C$66,2,FALSE),0)</f>
        <v>3020</v>
      </c>
      <c r="E144" s="87" t="s">
        <v>12</v>
      </c>
      <c r="F144" s="90"/>
      <c r="G144" s="60">
        <v>2500000</v>
      </c>
    </row>
    <row r="145" spans="1:9">
      <c r="A145" s="134">
        <v>46079</v>
      </c>
      <c r="B145" s="86">
        <v>46066</v>
      </c>
      <c r="C145" s="87" t="s">
        <v>160</v>
      </c>
      <c r="D145" s="88">
        <f>IFERROR(VLOOKUP(E145,Accounts!$B$2:$C$66,2,FALSE),0)</f>
        <v>7020</v>
      </c>
      <c r="E145" s="87" t="s">
        <v>51</v>
      </c>
      <c r="F145" s="90"/>
      <c r="G145" s="68">
        <v>100000</v>
      </c>
    </row>
    <row r="146" spans="1:9">
      <c r="A146" s="134">
        <v>46080</v>
      </c>
      <c r="B146" s="86">
        <v>46066</v>
      </c>
      <c r="C146" s="87" t="s">
        <v>160</v>
      </c>
      <c r="D146" s="88">
        <f>IFERROR(VLOOKUP(E146,Accounts!$B$2:$C$66,2,FALSE),0)</f>
        <v>2530</v>
      </c>
      <c r="E146" s="87" t="s">
        <v>104</v>
      </c>
      <c r="F146" s="90"/>
      <c r="G146" s="68">
        <v>18000</v>
      </c>
    </row>
    <row r="147" spans="1:9">
      <c r="A147" s="134">
        <v>46081</v>
      </c>
      <c r="B147" s="86">
        <v>46066</v>
      </c>
      <c r="C147" s="87" t="s">
        <v>95</v>
      </c>
      <c r="D147" s="88">
        <f>IFERROR(VLOOKUP(E147,Accounts!$B$2:$C$66,2,FALSE),0)</f>
        <v>3030</v>
      </c>
      <c r="E147" s="87" t="s">
        <v>13</v>
      </c>
      <c r="F147" s="89">
        <v>70800</v>
      </c>
      <c r="G147" s="91"/>
    </row>
    <row r="148" spans="1:9">
      <c r="A148" s="134">
        <v>46081</v>
      </c>
      <c r="B148" s="86">
        <v>46066</v>
      </c>
      <c r="C148" s="87" t="s">
        <v>95</v>
      </c>
      <c r="D148" s="88">
        <f>IFERROR(VLOOKUP(E148,Accounts!$B$2:$C$66,2,FALSE),0)</f>
        <v>3110</v>
      </c>
      <c r="E148" s="87" t="s">
        <v>68</v>
      </c>
      <c r="F148" s="89">
        <v>1500000</v>
      </c>
      <c r="G148" s="91"/>
    </row>
    <row r="149" spans="1:9">
      <c r="A149" s="134">
        <v>46081</v>
      </c>
      <c r="B149" s="86">
        <v>46066</v>
      </c>
      <c r="C149" s="87" t="s">
        <v>95</v>
      </c>
      <c r="D149" s="88">
        <f>IFERROR(VLOOKUP(E149,Accounts!$B$2:$C$66,2,FALSE),0)</f>
        <v>3020</v>
      </c>
      <c r="E149" s="87" t="s">
        <v>12</v>
      </c>
      <c r="F149" s="90"/>
      <c r="G149" s="68">
        <v>1500000</v>
      </c>
    </row>
    <row r="150" spans="1:9">
      <c r="A150" s="134">
        <v>46081</v>
      </c>
      <c r="B150" s="86">
        <v>46066</v>
      </c>
      <c r="C150" s="87" t="s">
        <v>95</v>
      </c>
      <c r="D150" s="88">
        <f>IFERROR(VLOOKUP(E150,Accounts!$B$2:$C$66,2,FALSE),0)</f>
        <v>7020</v>
      </c>
      <c r="E150" s="87" t="s">
        <v>51</v>
      </c>
      <c r="F150" s="90"/>
      <c r="G150" s="68">
        <v>60000</v>
      </c>
      <c r="I150" s="26"/>
    </row>
    <row r="151" spans="1:9">
      <c r="A151" s="134">
        <v>46081</v>
      </c>
      <c r="B151" s="86">
        <v>46066</v>
      </c>
      <c r="C151" s="87" t="s">
        <v>95</v>
      </c>
      <c r="D151" s="88">
        <f>IFERROR(VLOOKUP(E151,Accounts!$B$2:$C$66,2,FALSE),0)</f>
        <v>2530</v>
      </c>
      <c r="E151" s="87" t="s">
        <v>104</v>
      </c>
      <c r="F151" s="90"/>
      <c r="G151" s="68">
        <v>10800</v>
      </c>
    </row>
    <row r="152" spans="1:9">
      <c r="A152" s="134">
        <v>46081</v>
      </c>
      <c r="B152" s="86">
        <v>46066</v>
      </c>
      <c r="C152" s="87" t="s">
        <v>161</v>
      </c>
      <c r="D152" s="88">
        <f>IFERROR(VLOOKUP(E152,Accounts!$B$2:$C$66,2,FALSE),0)</f>
        <v>3030</v>
      </c>
      <c r="E152" s="87" t="s">
        <v>13</v>
      </c>
      <c r="F152" s="89">
        <v>94400</v>
      </c>
      <c r="G152" s="91"/>
    </row>
    <row r="153" spans="1:9">
      <c r="A153" s="134">
        <v>46081</v>
      </c>
      <c r="B153" s="86">
        <v>46066</v>
      </c>
      <c r="C153" s="87" t="s">
        <v>161</v>
      </c>
      <c r="D153" s="88">
        <f>IFERROR(VLOOKUP(E153,Accounts!$B$2:$C$66,2,FALSE),0)</f>
        <v>3110</v>
      </c>
      <c r="E153" s="87" t="s">
        <v>68</v>
      </c>
      <c r="F153" s="89">
        <v>2000000</v>
      </c>
      <c r="G153" s="91"/>
    </row>
    <row r="154" spans="1:9">
      <c r="A154" s="134">
        <v>46081</v>
      </c>
      <c r="B154" s="86">
        <v>46066</v>
      </c>
      <c r="C154" s="87" t="s">
        <v>161</v>
      </c>
      <c r="D154" s="88">
        <f>IFERROR(VLOOKUP(E154,Accounts!$B$2:$C$66,2,FALSE),0)</f>
        <v>3020</v>
      </c>
      <c r="E154" s="87" t="s">
        <v>12</v>
      </c>
      <c r="F154" s="90"/>
      <c r="G154" s="68">
        <v>2000000</v>
      </c>
    </row>
    <row r="155" spans="1:9">
      <c r="A155" s="134">
        <v>46081</v>
      </c>
      <c r="B155" s="86">
        <v>46066</v>
      </c>
      <c r="C155" s="87" t="s">
        <v>161</v>
      </c>
      <c r="D155" s="88">
        <f>IFERROR(VLOOKUP(E155,Accounts!$B$2:$C$66,2,FALSE),0)</f>
        <v>7020</v>
      </c>
      <c r="E155" s="87" t="s">
        <v>51</v>
      </c>
      <c r="F155" s="90"/>
      <c r="G155" s="68">
        <v>80000</v>
      </c>
      <c r="I155" s="26"/>
    </row>
    <row r="156" spans="1:9">
      <c r="A156" s="134">
        <v>46081</v>
      </c>
      <c r="B156" s="86">
        <v>46066</v>
      </c>
      <c r="C156" s="87" t="s">
        <v>161</v>
      </c>
      <c r="D156" s="88">
        <f>IFERROR(VLOOKUP(E156,Accounts!$B$2:$C$66,2,FALSE),0)</f>
        <v>2530</v>
      </c>
      <c r="E156" s="87" t="s">
        <v>104</v>
      </c>
      <c r="F156" s="90"/>
      <c r="G156" s="68">
        <v>14400</v>
      </c>
    </row>
    <row r="157" spans="1:9" s="31" customFormat="1">
      <c r="A157" s="135">
        <v>46081</v>
      </c>
      <c r="B157" s="104">
        <v>46072</v>
      </c>
      <c r="C157" s="105" t="s">
        <v>162</v>
      </c>
      <c r="D157" s="106">
        <f>IFERROR(VLOOKUP(E157,Accounts!$B$2:$C$66,2,FALSE),0)</f>
        <v>3020</v>
      </c>
      <c r="E157" s="105" t="s">
        <v>12</v>
      </c>
      <c r="F157" s="107">
        <v>548600</v>
      </c>
      <c r="G157" s="108"/>
    </row>
    <row r="158" spans="1:9" s="31" customFormat="1">
      <c r="A158" s="135">
        <v>46081</v>
      </c>
      <c r="B158" s="104">
        <v>46072</v>
      </c>
      <c r="C158" s="105" t="s">
        <v>162</v>
      </c>
      <c r="D158" s="106">
        <f>IFERROR(VLOOKUP(E158,Accounts!$B$2:$C$66,2,FALSE),0)</f>
        <v>3030</v>
      </c>
      <c r="E158" s="105" t="s">
        <v>13</v>
      </c>
      <c r="F158" s="109"/>
      <c r="G158" s="80">
        <v>23600</v>
      </c>
    </row>
    <row r="159" spans="1:9" s="31" customFormat="1">
      <c r="A159" s="135">
        <v>46081</v>
      </c>
      <c r="B159" s="104">
        <v>46072</v>
      </c>
      <c r="C159" s="105" t="s">
        <v>162</v>
      </c>
      <c r="D159" s="106">
        <f>IFERROR(VLOOKUP(E159,Accounts!$B$2:$C$66,2,FALSE),0)</f>
        <v>7010</v>
      </c>
      <c r="E159" s="105" t="s">
        <v>50</v>
      </c>
      <c r="F159" s="109"/>
      <c r="G159" s="80">
        <v>25000</v>
      </c>
    </row>
    <row r="160" spans="1:9" s="31" customFormat="1">
      <c r="A160" s="135">
        <v>46081</v>
      </c>
      <c r="B160" s="104">
        <v>46072</v>
      </c>
      <c r="C160" s="105" t="s">
        <v>162</v>
      </c>
      <c r="D160" s="106">
        <f>IFERROR(VLOOKUP(E160,Accounts!$B$2:$C$66,2,FALSE),0)</f>
        <v>3110</v>
      </c>
      <c r="E160" s="105" t="s">
        <v>68</v>
      </c>
      <c r="F160" s="109"/>
      <c r="G160" s="80">
        <v>500000</v>
      </c>
    </row>
    <row r="161" spans="1:7">
      <c r="A161" s="134">
        <v>46081</v>
      </c>
      <c r="B161" s="86">
        <v>46078</v>
      </c>
      <c r="C161" s="87" t="s">
        <v>115</v>
      </c>
      <c r="D161" s="88">
        <f>IFERROR(VLOOKUP(E161,Accounts!$B$2:$C$66,2,FALSE),0)</f>
        <v>6280</v>
      </c>
      <c r="E161" s="87" t="s">
        <v>67</v>
      </c>
      <c r="F161" s="90">
        <v>500</v>
      </c>
      <c r="G161" s="91"/>
    </row>
    <row r="162" spans="1:7">
      <c r="A162" s="134">
        <v>46081</v>
      </c>
      <c r="B162" s="86">
        <v>46078</v>
      </c>
      <c r="C162" s="87" t="s">
        <v>115</v>
      </c>
      <c r="D162" s="88">
        <f>IFERROR(VLOOKUP(E162,Accounts!$B$2:$C$66,2,FALSE),0)</f>
        <v>3020</v>
      </c>
      <c r="E162" s="87" t="s">
        <v>12</v>
      </c>
      <c r="F162" s="90"/>
      <c r="G162" s="91">
        <v>500</v>
      </c>
    </row>
    <row r="163" spans="1:7">
      <c r="A163" s="136">
        <v>46081</v>
      </c>
      <c r="B163" s="92">
        <v>46078</v>
      </c>
      <c r="C163" s="93" t="s">
        <v>163</v>
      </c>
      <c r="D163" s="94">
        <f>IFERROR(VLOOKUP(E163,Accounts!$B$2:$C$66,2,FALSE),0)</f>
        <v>6110</v>
      </c>
      <c r="E163" s="93" t="s">
        <v>38</v>
      </c>
      <c r="F163" s="95">
        <v>541501</v>
      </c>
      <c r="G163" s="96"/>
    </row>
    <row r="164" spans="1:7">
      <c r="A164" s="136">
        <v>46081</v>
      </c>
      <c r="B164" s="92">
        <v>46078</v>
      </c>
      <c r="C164" s="93" t="s">
        <v>164</v>
      </c>
      <c r="D164" s="94">
        <f>IFERROR(VLOOKUP(E164,Accounts!$B$2:$C$66,2,FALSE),0)</f>
        <v>2540</v>
      </c>
      <c r="E164" s="93" t="s">
        <v>71</v>
      </c>
      <c r="F164" s="95"/>
      <c r="G164" s="96">
        <v>114000</v>
      </c>
    </row>
    <row r="165" spans="1:7">
      <c r="A165" s="136">
        <v>46081</v>
      </c>
      <c r="B165" s="92">
        <v>46078</v>
      </c>
      <c r="C165" s="93" t="s">
        <v>165</v>
      </c>
      <c r="D165" s="94">
        <f>IFERROR(VLOOKUP(E165,Accounts!$B$2:$C$66,2,FALSE),0)</f>
        <v>2550</v>
      </c>
      <c r="E165" s="93" t="s">
        <v>97</v>
      </c>
      <c r="F165" s="95"/>
      <c r="G165" s="96">
        <v>3000</v>
      </c>
    </row>
    <row r="166" spans="1:7">
      <c r="A166" s="136">
        <v>46081</v>
      </c>
      <c r="B166" s="92">
        <v>46078</v>
      </c>
      <c r="C166" s="93" t="s">
        <v>165</v>
      </c>
      <c r="D166" s="94">
        <f>IFERROR(VLOOKUP(E166,Accounts!$B$2:$C$66,2,FALSE),0)</f>
        <v>2560</v>
      </c>
      <c r="E166" s="93" t="s">
        <v>98</v>
      </c>
      <c r="F166" s="95"/>
      <c r="G166" s="96">
        <v>70000</v>
      </c>
    </row>
    <row r="167" spans="1:7">
      <c r="A167" s="136">
        <v>46081</v>
      </c>
      <c r="B167" s="92">
        <v>46078</v>
      </c>
      <c r="C167" s="93" t="s">
        <v>165</v>
      </c>
      <c r="D167" s="94">
        <f>IFERROR(VLOOKUP(E167,Accounts!$B$2:$C$66,2,FALSE),0)</f>
        <v>2570</v>
      </c>
      <c r="E167" s="93" t="s">
        <v>99</v>
      </c>
      <c r="F167" s="95"/>
      <c r="G167" s="96">
        <v>1773</v>
      </c>
    </row>
    <row r="168" spans="1:7">
      <c r="A168" s="136">
        <v>46081</v>
      </c>
      <c r="B168" s="92">
        <v>46078</v>
      </c>
      <c r="C168" s="93" t="s">
        <v>165</v>
      </c>
      <c r="D168" s="94">
        <f>IFERROR(VLOOKUP(E168,Accounts!$B$2:$C$66,2,FALSE),0)</f>
        <v>2580</v>
      </c>
      <c r="E168" s="93" t="s">
        <v>100</v>
      </c>
      <c r="F168" s="95"/>
      <c r="G168" s="96">
        <v>352728</v>
      </c>
    </row>
    <row r="169" spans="1:7">
      <c r="A169" s="134">
        <v>46081</v>
      </c>
      <c r="B169" s="86">
        <v>46078</v>
      </c>
      <c r="C169" s="87" t="s">
        <v>166</v>
      </c>
      <c r="D169" s="88">
        <f>IFERROR(VLOOKUP(E169,Accounts!$B$2:$C$66,2,FALSE),0)</f>
        <v>2580</v>
      </c>
      <c r="E169" s="87" t="s">
        <v>100</v>
      </c>
      <c r="F169" s="89">
        <v>352728</v>
      </c>
      <c r="G169" s="68"/>
    </row>
    <row r="170" spans="1:7">
      <c r="A170" s="134">
        <v>46081</v>
      </c>
      <c r="B170" s="86">
        <v>46078</v>
      </c>
      <c r="C170" s="87" t="s">
        <v>166</v>
      </c>
      <c r="D170" s="88">
        <f>IFERROR(VLOOKUP(E170,Accounts!$B$2:$C$66,2,FALSE),0)</f>
        <v>3020</v>
      </c>
      <c r="E170" s="87" t="s">
        <v>12</v>
      </c>
      <c r="F170" s="89"/>
      <c r="G170" s="68">
        <v>352728</v>
      </c>
    </row>
    <row r="171" spans="1:7" s="31" customFormat="1">
      <c r="A171" s="134">
        <v>46081</v>
      </c>
      <c r="B171" s="86">
        <v>46079</v>
      </c>
      <c r="C171" s="87" t="s">
        <v>167</v>
      </c>
      <c r="D171" s="88">
        <f>IFERROR(VLOOKUP(E171,Accounts!$B$2:$C$66,2,FALSE),0)</f>
        <v>3020</v>
      </c>
      <c r="E171" s="87" t="s">
        <v>12</v>
      </c>
      <c r="F171" s="89">
        <v>259440</v>
      </c>
      <c r="G171" s="91"/>
    </row>
    <row r="172" spans="1:7" s="31" customFormat="1">
      <c r="A172" s="134">
        <v>46081</v>
      </c>
      <c r="B172" s="86">
        <v>46079</v>
      </c>
      <c r="C172" s="87" t="s">
        <v>167</v>
      </c>
      <c r="D172" s="88">
        <f>IFERROR(VLOOKUP(E172,Accounts!$B$2:$C$66,2,FALSE),0)</f>
        <v>7010</v>
      </c>
      <c r="E172" s="87" t="s">
        <v>50</v>
      </c>
      <c r="F172" s="89"/>
      <c r="G172" s="101">
        <v>50000</v>
      </c>
    </row>
    <row r="173" spans="1:7" s="31" customFormat="1">
      <c r="A173" s="134">
        <v>46081</v>
      </c>
      <c r="B173" s="86">
        <v>46079</v>
      </c>
      <c r="C173" s="87" t="s">
        <v>167</v>
      </c>
      <c r="D173" s="88">
        <f>IFERROR(VLOOKUP(E173,Accounts!$B$2:$C$66,2,FALSE),0)</f>
        <v>3110</v>
      </c>
      <c r="E173" s="87" t="s">
        <v>68</v>
      </c>
      <c r="F173" s="90"/>
      <c r="G173" s="68">
        <f>F171-G172</f>
        <v>209440</v>
      </c>
    </row>
    <row r="174" spans="1:7">
      <c r="A174" s="134">
        <v>46081</v>
      </c>
      <c r="B174" s="86">
        <v>46080</v>
      </c>
      <c r="C174" s="87" t="s">
        <v>168</v>
      </c>
      <c r="D174" s="88">
        <f>IFERROR(VLOOKUP(E174,Accounts!$B$2:$C$66,2,FALSE),0)</f>
        <v>3020</v>
      </c>
      <c r="E174" s="87" t="s">
        <v>12</v>
      </c>
      <c r="F174" s="89">
        <v>175200</v>
      </c>
      <c r="G174" s="91"/>
    </row>
    <row r="175" spans="1:7">
      <c r="A175" s="134">
        <v>46081</v>
      </c>
      <c r="B175" s="86">
        <v>46080</v>
      </c>
      <c r="C175" s="87" t="s">
        <v>168</v>
      </c>
      <c r="D175" s="88">
        <f>IFERROR(VLOOKUP(E175,Accounts!$B$2:$C$66,2,FALSE),0)</f>
        <v>7010</v>
      </c>
      <c r="E175" s="87" t="s">
        <v>50</v>
      </c>
      <c r="F175" s="90"/>
      <c r="G175" s="68">
        <v>175000</v>
      </c>
    </row>
    <row r="176" spans="1:7">
      <c r="A176" s="134">
        <v>46081</v>
      </c>
      <c r="B176" s="86">
        <v>46080</v>
      </c>
      <c r="C176" s="87" t="s">
        <v>168</v>
      </c>
      <c r="D176" s="88">
        <f>IFERROR(VLOOKUP(E176,Accounts!$B$2:$C$66,2,FALSE),0)</f>
        <v>3110</v>
      </c>
      <c r="E176" s="87" t="s">
        <v>68</v>
      </c>
      <c r="F176" s="90"/>
      <c r="G176" s="68">
        <v>200</v>
      </c>
    </row>
    <row r="177" spans="1:7">
      <c r="A177" s="134">
        <v>46081</v>
      </c>
      <c r="B177" s="86">
        <v>46081</v>
      </c>
      <c r="C177" s="87" t="s">
        <v>111</v>
      </c>
      <c r="D177" s="88">
        <f>IFERROR(VLOOKUP(E177,Accounts!$B$2:$C$66,2,FALSE),0)</f>
        <v>6280</v>
      </c>
      <c r="E177" s="87" t="s">
        <v>67</v>
      </c>
      <c r="F177" s="89">
        <v>2000</v>
      </c>
      <c r="G177" s="91"/>
    </row>
    <row r="178" spans="1:7">
      <c r="A178" s="134">
        <v>46081</v>
      </c>
      <c r="B178" s="86">
        <v>46081</v>
      </c>
      <c r="C178" s="87" t="s">
        <v>111</v>
      </c>
      <c r="D178" s="88">
        <f>IFERROR(VLOOKUP(E178,Accounts!$B$2:$C$66,2,FALSE),0)</f>
        <v>3020</v>
      </c>
      <c r="E178" s="87" t="s">
        <v>12</v>
      </c>
      <c r="F178" s="90"/>
      <c r="G178" s="68">
        <v>2000</v>
      </c>
    </row>
    <row r="179" spans="1:7">
      <c r="A179" s="135">
        <v>46081</v>
      </c>
      <c r="B179" s="104">
        <v>46081</v>
      </c>
      <c r="C179" s="105" t="s">
        <v>111</v>
      </c>
      <c r="D179" s="106">
        <f>IFERROR(VLOOKUP(E179,Accounts!$B$2:$C$66,2,FALSE),0)</f>
        <v>6210</v>
      </c>
      <c r="E179" s="105" t="s">
        <v>102</v>
      </c>
      <c r="F179" s="107">
        <v>211864</v>
      </c>
      <c r="G179" s="108"/>
    </row>
    <row r="180" spans="1:7">
      <c r="A180" s="135">
        <v>46081</v>
      </c>
      <c r="B180" s="104">
        <v>46081</v>
      </c>
      <c r="C180" s="105" t="s">
        <v>111</v>
      </c>
      <c r="D180" s="106">
        <f>IFERROR(VLOOKUP(E180,Accounts!$B$2:$C$66,2,FALSE),0)</f>
        <v>3050</v>
      </c>
      <c r="E180" s="105" t="s">
        <v>14</v>
      </c>
      <c r="F180" s="109"/>
      <c r="G180" s="80">
        <v>211864</v>
      </c>
    </row>
    <row r="181" spans="1:7">
      <c r="A181" s="134">
        <v>46082</v>
      </c>
      <c r="B181" s="86">
        <v>46086</v>
      </c>
      <c r="C181" s="87" t="s">
        <v>169</v>
      </c>
      <c r="D181" s="88">
        <f>IFERROR(VLOOKUP(E181,Accounts!$B$2:$C$66,2,FALSE),0)</f>
        <v>2560</v>
      </c>
      <c r="E181" s="87" t="s">
        <v>98</v>
      </c>
      <c r="F181" s="89">
        <v>70000</v>
      </c>
      <c r="G181" s="91"/>
    </row>
    <row r="182" spans="1:7">
      <c r="A182" s="134">
        <v>46083</v>
      </c>
      <c r="B182" s="86">
        <v>46086</v>
      </c>
      <c r="C182" s="87" t="s">
        <v>169</v>
      </c>
      <c r="D182" s="88">
        <f>IFERROR(VLOOKUP(E182,Accounts!$B$2:$C$66,2,FALSE),0)</f>
        <v>3020</v>
      </c>
      <c r="E182" s="87" t="s">
        <v>12</v>
      </c>
      <c r="F182" s="90"/>
      <c r="G182" s="68">
        <v>70000</v>
      </c>
    </row>
    <row r="183" spans="1:7">
      <c r="A183" s="134">
        <v>46084</v>
      </c>
      <c r="B183" s="86">
        <v>46086</v>
      </c>
      <c r="C183" s="87" t="s">
        <v>170</v>
      </c>
      <c r="D183" s="88">
        <f>IFERROR(VLOOKUP(E183,Accounts!$B$2:$C$66,2,FALSE),0)</f>
        <v>2550</v>
      </c>
      <c r="E183" s="87" t="s">
        <v>97</v>
      </c>
      <c r="F183" s="89">
        <v>3000</v>
      </c>
      <c r="G183" s="91"/>
    </row>
    <row r="184" spans="1:7">
      <c r="A184" s="134">
        <v>46085</v>
      </c>
      <c r="B184" s="86">
        <v>46086</v>
      </c>
      <c r="C184" s="87" t="s">
        <v>170</v>
      </c>
      <c r="D184" s="88">
        <f>IFERROR(VLOOKUP(E184,Accounts!$B$2:$C$66,2,FALSE),0)</f>
        <v>3020</v>
      </c>
      <c r="E184" s="87" t="s">
        <v>12</v>
      </c>
      <c r="F184" s="90"/>
      <c r="G184" s="68">
        <v>3000</v>
      </c>
    </row>
    <row r="185" spans="1:7">
      <c r="A185" s="134">
        <v>46086</v>
      </c>
      <c r="B185" s="86">
        <v>46086</v>
      </c>
      <c r="C185" s="87" t="s">
        <v>171</v>
      </c>
      <c r="D185" s="88">
        <f>IFERROR(VLOOKUP(E185,Accounts!$B$2:$C$66,2,FALSE),0)</f>
        <v>2570</v>
      </c>
      <c r="E185" s="87" t="s">
        <v>99</v>
      </c>
      <c r="F185" s="89">
        <v>1773</v>
      </c>
      <c r="G185" s="91"/>
    </row>
    <row r="186" spans="1:7">
      <c r="A186" s="134">
        <v>46087</v>
      </c>
      <c r="B186" s="86">
        <v>46086</v>
      </c>
      <c r="C186" s="87" t="s">
        <v>171</v>
      </c>
      <c r="D186" s="88">
        <f>IFERROR(VLOOKUP(E186,Accounts!$B$2:$C$66,2,FALSE),0)</f>
        <v>3020</v>
      </c>
      <c r="E186" s="87" t="s">
        <v>12</v>
      </c>
      <c r="F186" s="90"/>
      <c r="G186" s="68">
        <v>1773</v>
      </c>
    </row>
    <row r="187" spans="1:7">
      <c r="A187" s="134">
        <v>46088</v>
      </c>
      <c r="B187" s="86">
        <v>46086</v>
      </c>
      <c r="C187" s="87" t="s">
        <v>114</v>
      </c>
      <c r="D187" s="88">
        <f>IFERROR(VLOOKUP(E187,Accounts!$B$2:$C$66,2,FALSE),0)</f>
        <v>6280</v>
      </c>
      <c r="E187" s="87" t="s">
        <v>67</v>
      </c>
      <c r="F187" s="89">
        <v>500</v>
      </c>
      <c r="G187" s="91"/>
    </row>
    <row r="188" spans="1:7">
      <c r="A188" s="134">
        <v>46089</v>
      </c>
      <c r="B188" s="86">
        <v>46086</v>
      </c>
      <c r="C188" s="87" t="s">
        <v>114</v>
      </c>
      <c r="D188" s="88">
        <f>IFERROR(VLOOKUP(E188,Accounts!$B$2:$C$66,2,FALSE),0)</f>
        <v>3020</v>
      </c>
      <c r="E188" s="87" t="s">
        <v>12</v>
      </c>
      <c r="F188" s="90"/>
      <c r="G188" s="91">
        <v>500</v>
      </c>
    </row>
    <row r="189" spans="1:7">
      <c r="A189" s="134">
        <v>46090</v>
      </c>
      <c r="B189" s="86">
        <v>46086</v>
      </c>
      <c r="C189" s="87" t="s">
        <v>172</v>
      </c>
      <c r="D189" s="88">
        <f>IFERROR(VLOOKUP(E189,Accounts!$B$2:$C$66,2,FALSE),0)</f>
        <v>2540</v>
      </c>
      <c r="E189" s="87" t="s">
        <v>71</v>
      </c>
      <c r="F189" s="89">
        <v>114000</v>
      </c>
      <c r="G189" s="91"/>
    </row>
    <row r="190" spans="1:7">
      <c r="A190" s="134">
        <v>46091</v>
      </c>
      <c r="B190" s="86">
        <v>46086</v>
      </c>
      <c r="C190" s="87" t="s">
        <v>172</v>
      </c>
      <c r="D190" s="88">
        <f>IFERROR(VLOOKUP(E190,Accounts!$B$2:$C$66,2,FALSE),0)</f>
        <v>3020</v>
      </c>
      <c r="E190" s="87" t="s">
        <v>12</v>
      </c>
      <c r="F190" s="90"/>
      <c r="G190" s="68">
        <v>114000</v>
      </c>
    </row>
    <row r="191" spans="1:7">
      <c r="A191" s="134">
        <v>46092</v>
      </c>
      <c r="B191" s="86">
        <v>46086</v>
      </c>
      <c r="C191" s="87" t="s">
        <v>173</v>
      </c>
      <c r="D191" s="88">
        <f>IFERROR(VLOOKUP(E191,Accounts!$B$2:$C$66,2,FALSE),0)</f>
        <v>6280</v>
      </c>
      <c r="E191" s="87" t="s">
        <v>67</v>
      </c>
      <c r="F191" s="89">
        <v>1000</v>
      </c>
      <c r="G191" s="91"/>
    </row>
    <row r="192" spans="1:7">
      <c r="A192" s="134">
        <v>46093</v>
      </c>
      <c r="B192" s="86">
        <v>46086</v>
      </c>
      <c r="C192" s="87" t="s">
        <v>173</v>
      </c>
      <c r="D192" s="88">
        <f>IFERROR(VLOOKUP(E192,Accounts!$B$2:$C$66,2,FALSE),0)</f>
        <v>3020</v>
      </c>
      <c r="E192" s="87" t="s">
        <v>12</v>
      </c>
      <c r="F192" s="90"/>
      <c r="G192" s="68">
        <v>1000</v>
      </c>
    </row>
    <row r="193" spans="1:7">
      <c r="A193" s="134">
        <v>46094</v>
      </c>
      <c r="B193" s="86">
        <v>46086</v>
      </c>
      <c r="C193" s="87" t="s">
        <v>174</v>
      </c>
      <c r="D193" s="88">
        <f>IFERROR(VLOOKUP(E193,Accounts!$B$2:$C$66,2,FALSE),0)</f>
        <v>3050</v>
      </c>
      <c r="E193" s="87" t="s">
        <v>14</v>
      </c>
      <c r="F193" s="89">
        <v>211864</v>
      </c>
      <c r="G193" s="91"/>
    </row>
    <row r="194" spans="1:7">
      <c r="A194" s="134">
        <v>46095</v>
      </c>
      <c r="B194" s="86">
        <v>46086</v>
      </c>
      <c r="C194" s="87" t="s">
        <v>175</v>
      </c>
      <c r="D194" s="88">
        <f>IFERROR(VLOOKUP(E194,Accounts!$B$2:$C$66,2,FALSE),0)</f>
        <v>6210</v>
      </c>
      <c r="E194" s="87" t="s">
        <v>102</v>
      </c>
      <c r="F194" s="89">
        <v>211865</v>
      </c>
      <c r="G194" s="91"/>
    </row>
    <row r="195" spans="1:7">
      <c r="A195" s="134">
        <v>46096</v>
      </c>
      <c r="B195" s="86">
        <v>46086</v>
      </c>
      <c r="C195" s="87" t="s">
        <v>176</v>
      </c>
      <c r="D195" s="88">
        <f>IFERROR(VLOOKUP(E195,Accounts!$B$2:$C$66,2,FALSE),0)</f>
        <v>2530</v>
      </c>
      <c r="E195" s="87" t="s">
        <v>104</v>
      </c>
      <c r="F195" s="89">
        <v>76271</v>
      </c>
      <c r="G195" s="91"/>
    </row>
    <row r="196" spans="1:7">
      <c r="A196" s="134">
        <v>46097</v>
      </c>
      <c r="B196" s="86">
        <v>46086</v>
      </c>
      <c r="C196" s="87" t="s">
        <v>176</v>
      </c>
      <c r="D196" s="88">
        <f>IFERROR(VLOOKUP(E196,Accounts!$B$2:$C$66,2,FALSE),0)</f>
        <v>3020</v>
      </c>
      <c r="E196" s="87" t="s">
        <v>12</v>
      </c>
      <c r="F196" s="90"/>
      <c r="G196" s="68">
        <v>500000</v>
      </c>
    </row>
    <row r="197" spans="1:7">
      <c r="A197" s="134">
        <v>46098</v>
      </c>
      <c r="B197" s="86">
        <v>46087</v>
      </c>
      <c r="C197" s="87" t="s">
        <v>114</v>
      </c>
      <c r="D197" s="88">
        <f>IFERROR(VLOOKUP(E197,Accounts!$B$2:$C$66,2,FALSE),0)</f>
        <v>6280</v>
      </c>
      <c r="E197" s="87" t="s">
        <v>67</v>
      </c>
      <c r="F197" s="90">
        <v>90</v>
      </c>
      <c r="G197" s="91"/>
    </row>
    <row r="198" spans="1:7">
      <c r="A198" s="134">
        <v>46099</v>
      </c>
      <c r="B198" s="86">
        <v>46087</v>
      </c>
      <c r="C198" s="87" t="s">
        <v>114</v>
      </c>
      <c r="D198" s="88">
        <f>IFERROR(VLOOKUP(E198,Accounts!$B$2:$C$66,2,FALSE),0)</f>
        <v>3020</v>
      </c>
      <c r="E198" s="87" t="s">
        <v>12</v>
      </c>
      <c r="F198" s="90"/>
      <c r="G198" s="91">
        <v>90</v>
      </c>
    </row>
    <row r="199" spans="1:7">
      <c r="A199" s="134">
        <v>46100</v>
      </c>
      <c r="B199" s="86">
        <v>46087</v>
      </c>
      <c r="C199" s="87" t="s">
        <v>112</v>
      </c>
      <c r="D199" s="88">
        <f>IFERROR(VLOOKUP(E199,Accounts!$B$2:$C$66,2,FALSE),0)</f>
        <v>6280</v>
      </c>
      <c r="E199" s="87" t="s">
        <v>67</v>
      </c>
      <c r="F199" s="90">
        <v>500</v>
      </c>
      <c r="G199" s="91"/>
    </row>
    <row r="200" spans="1:7">
      <c r="A200" s="134">
        <v>46101</v>
      </c>
      <c r="B200" s="86">
        <v>46087</v>
      </c>
      <c r="C200" s="87" t="s">
        <v>112</v>
      </c>
      <c r="D200" s="88">
        <f>IFERROR(VLOOKUP(E200,Accounts!$B$2:$C$66,2,FALSE),0)</f>
        <v>3020</v>
      </c>
      <c r="E200" s="87" t="s">
        <v>12</v>
      </c>
      <c r="F200" s="90"/>
      <c r="G200" s="91">
        <v>500</v>
      </c>
    </row>
    <row r="201" spans="1:7">
      <c r="A201" s="134">
        <v>46102</v>
      </c>
      <c r="B201" s="86">
        <v>46087</v>
      </c>
      <c r="C201" s="87" t="s">
        <v>113</v>
      </c>
      <c r="D201" s="88">
        <f>IFERROR(VLOOKUP(E201,Accounts!$B$2:$C$66,2,FALSE),0)</f>
        <v>3010</v>
      </c>
      <c r="E201" s="87" t="s">
        <v>11</v>
      </c>
      <c r="F201" s="89">
        <v>50000</v>
      </c>
      <c r="G201" s="91"/>
    </row>
    <row r="202" spans="1:7">
      <c r="A202" s="134">
        <v>46102</v>
      </c>
      <c r="B202" s="86">
        <v>46087</v>
      </c>
      <c r="C202" s="87" t="s">
        <v>113</v>
      </c>
      <c r="D202" s="88">
        <f>IFERROR(VLOOKUP(E202,Accounts!$B$2:$C$66,2,FALSE),0)</f>
        <v>3020</v>
      </c>
      <c r="E202" s="87" t="s">
        <v>12</v>
      </c>
      <c r="F202" s="90"/>
      <c r="G202" s="68">
        <v>50000</v>
      </c>
    </row>
    <row r="203" spans="1:7">
      <c r="A203" s="134">
        <v>46102</v>
      </c>
      <c r="B203" s="86">
        <v>46087</v>
      </c>
      <c r="C203" s="87" t="s">
        <v>114</v>
      </c>
      <c r="D203" s="88">
        <f>IFERROR(VLOOKUP(E203,Accounts!$B$2:$C$66,2,FALSE),0)</f>
        <v>6280</v>
      </c>
      <c r="E203" s="87" t="s">
        <v>67</v>
      </c>
      <c r="F203" s="90">
        <v>90</v>
      </c>
      <c r="G203" s="91"/>
    </row>
    <row r="204" spans="1:7">
      <c r="A204" s="134">
        <v>46102</v>
      </c>
      <c r="B204" s="86">
        <v>46087</v>
      </c>
      <c r="C204" s="87" t="s">
        <v>114</v>
      </c>
      <c r="D204" s="88">
        <f>IFERROR(VLOOKUP(E204,Accounts!$B$2:$C$66,2,FALSE),0)</f>
        <v>3020</v>
      </c>
      <c r="E204" s="87" t="s">
        <v>12</v>
      </c>
      <c r="F204" s="90"/>
      <c r="G204" s="91">
        <v>90</v>
      </c>
    </row>
    <row r="205" spans="1:7">
      <c r="A205" s="134">
        <v>46102</v>
      </c>
      <c r="B205" s="86">
        <v>46087</v>
      </c>
      <c r="C205" s="87" t="s">
        <v>112</v>
      </c>
      <c r="D205" s="88">
        <f>IFERROR(VLOOKUP(E205,Accounts!$B$2:$C$66,2,FALSE),0)</f>
        <v>6280</v>
      </c>
      <c r="E205" s="87" t="s">
        <v>67</v>
      </c>
      <c r="F205" s="90">
        <v>500</v>
      </c>
      <c r="G205" s="91"/>
    </row>
    <row r="206" spans="1:7">
      <c r="A206" s="134">
        <v>46091</v>
      </c>
      <c r="B206" s="86">
        <v>46087</v>
      </c>
      <c r="C206" s="87" t="s">
        <v>112</v>
      </c>
      <c r="D206" s="88">
        <f>IFERROR(VLOOKUP(E206,Accounts!$B$2:$C$66,2,FALSE),0)</f>
        <v>3020</v>
      </c>
      <c r="E206" s="87" t="s">
        <v>12</v>
      </c>
      <c r="F206" s="90"/>
      <c r="G206" s="91">
        <v>500</v>
      </c>
    </row>
    <row r="207" spans="1:7">
      <c r="A207" s="134">
        <v>46092</v>
      </c>
      <c r="B207" s="86">
        <v>46087</v>
      </c>
      <c r="C207" s="87" t="s">
        <v>177</v>
      </c>
      <c r="D207" s="88">
        <f>IFERROR(VLOOKUP(E207,Accounts!$B$2:$C$66,2,FALSE),0)</f>
        <v>3010</v>
      </c>
      <c r="E207" s="87" t="s">
        <v>11</v>
      </c>
      <c r="F207" s="89">
        <v>36000</v>
      </c>
      <c r="G207" s="91"/>
    </row>
    <row r="208" spans="1:7">
      <c r="A208" s="134">
        <v>46093</v>
      </c>
      <c r="B208" s="86">
        <v>46087</v>
      </c>
      <c r="C208" s="87" t="s">
        <v>177</v>
      </c>
      <c r="D208" s="88">
        <f>IFERROR(VLOOKUP(E208,Accounts!$B$2:$C$66,2,FALSE),0)</f>
        <v>3020</v>
      </c>
      <c r="E208" s="87" t="s">
        <v>12</v>
      </c>
      <c r="F208" s="90"/>
      <c r="G208" s="68">
        <v>36000</v>
      </c>
    </row>
    <row r="209" spans="1:11">
      <c r="A209" s="134">
        <v>46094</v>
      </c>
      <c r="B209" s="86">
        <v>46090</v>
      </c>
      <c r="C209" s="87" t="s">
        <v>178</v>
      </c>
      <c r="D209" s="88">
        <f>IFERROR(VLOOKUP(E209,Accounts!$B$2:$C$66,2,FALSE),0)</f>
        <v>3030</v>
      </c>
      <c r="E209" s="87" t="s">
        <v>13</v>
      </c>
      <c r="F209" s="89">
        <v>23600</v>
      </c>
      <c r="G209" s="91"/>
    </row>
    <row r="210" spans="1:11">
      <c r="A210" s="134">
        <v>46095</v>
      </c>
      <c r="B210" s="86">
        <v>46090</v>
      </c>
      <c r="C210" s="87" t="s">
        <v>178</v>
      </c>
      <c r="D210" s="88">
        <f>IFERROR(VLOOKUP(E210,Accounts!$B$2:$C$66,2,FALSE),0)</f>
        <v>3110</v>
      </c>
      <c r="E210" s="87" t="s">
        <v>68</v>
      </c>
      <c r="F210" s="89">
        <v>500000</v>
      </c>
      <c r="G210" s="91"/>
    </row>
    <row r="211" spans="1:11">
      <c r="A211" s="134">
        <v>46096</v>
      </c>
      <c r="B211" s="86">
        <v>46090</v>
      </c>
      <c r="C211" s="87" t="s">
        <v>178</v>
      </c>
      <c r="D211" s="88">
        <f>IFERROR(VLOOKUP(E211,Accounts!$B$2:$C$66,2,FALSE),0)</f>
        <v>3020</v>
      </c>
      <c r="E211" s="87" t="s">
        <v>12</v>
      </c>
      <c r="F211" s="90"/>
      <c r="G211" s="68">
        <v>500000</v>
      </c>
    </row>
    <row r="212" spans="1:11">
      <c r="A212" s="134">
        <v>46097</v>
      </c>
      <c r="B212" s="86">
        <v>46090</v>
      </c>
      <c r="C212" s="87" t="s">
        <v>178</v>
      </c>
      <c r="D212" s="88">
        <f>IFERROR(VLOOKUP(E212,Accounts!$B$2:$C$66,2,FALSE),0)</f>
        <v>7020</v>
      </c>
      <c r="E212" s="87" t="s">
        <v>51</v>
      </c>
      <c r="F212" s="90"/>
      <c r="G212" s="68">
        <v>20000</v>
      </c>
    </row>
    <row r="213" spans="1:11">
      <c r="A213" s="134">
        <v>46098</v>
      </c>
      <c r="B213" s="86">
        <v>46090</v>
      </c>
      <c r="C213" s="87" t="s">
        <v>178</v>
      </c>
      <c r="D213" s="88">
        <f>IFERROR(VLOOKUP(E213,Accounts!$B$2:$C$66,2,FALSE),0)</f>
        <v>2530</v>
      </c>
      <c r="E213" s="87" t="s">
        <v>104</v>
      </c>
      <c r="F213" s="90"/>
      <c r="G213" s="68">
        <v>3600</v>
      </c>
    </row>
    <row r="214" spans="1:11">
      <c r="A214" s="134">
        <v>46099</v>
      </c>
      <c r="B214" s="86">
        <v>46094</v>
      </c>
      <c r="C214" s="87" t="s">
        <v>179</v>
      </c>
      <c r="D214" s="88">
        <f>IFERROR(VLOOKUP(E214,Accounts!$B$2:$C$66,2,FALSE),0)</f>
        <v>3020</v>
      </c>
      <c r="E214" s="87" t="s">
        <v>12</v>
      </c>
      <c r="F214" s="89">
        <v>518880</v>
      </c>
      <c r="G214" s="91"/>
    </row>
    <row r="215" spans="1:11">
      <c r="A215" s="134">
        <v>46100</v>
      </c>
      <c r="B215" s="86">
        <v>46094</v>
      </c>
      <c r="C215" s="87" t="s">
        <v>179</v>
      </c>
      <c r="D215" s="88">
        <f>IFERROR(VLOOKUP(E215,Accounts!$B$2:$C$66,2,FALSE),0)</f>
        <v>3030</v>
      </c>
      <c r="E215" s="87" t="s">
        <v>13</v>
      </c>
      <c r="F215" s="90"/>
      <c r="G215" s="68">
        <v>94400</v>
      </c>
    </row>
    <row r="216" spans="1:11">
      <c r="A216" s="134">
        <v>46101</v>
      </c>
      <c r="B216" s="86">
        <v>46094</v>
      </c>
      <c r="C216" s="87" t="s">
        <v>179</v>
      </c>
      <c r="D216" s="88">
        <f>IFERROR(VLOOKUP(E216,Accounts!$B$2:$C$66,2,FALSE),0)</f>
        <v>7010</v>
      </c>
      <c r="E216" s="87" t="s">
        <v>50</v>
      </c>
      <c r="F216" s="90"/>
      <c r="G216" s="68">
        <v>100000</v>
      </c>
    </row>
    <row r="217" spans="1:11">
      <c r="A217" s="134">
        <v>46102</v>
      </c>
      <c r="B217" s="86">
        <v>46094</v>
      </c>
      <c r="C217" s="87" t="s">
        <v>179</v>
      </c>
      <c r="D217" s="88">
        <f>IFERROR(VLOOKUP(E217,Accounts!$B$2:$C$66,2,FALSE),0)</f>
        <v>3110</v>
      </c>
      <c r="E217" s="87" t="s">
        <v>68</v>
      </c>
      <c r="F217" s="90"/>
      <c r="G217" s="68">
        <v>324480</v>
      </c>
    </row>
    <row r="218" spans="1:11">
      <c r="A218" s="134">
        <v>46103</v>
      </c>
      <c r="B218" s="86">
        <v>46104</v>
      </c>
      <c r="C218" s="87" t="s">
        <v>180</v>
      </c>
      <c r="D218" s="88">
        <f>IFERROR(VLOOKUP(E218,Accounts!$B$2:$C$66,2,FALSE),0)</f>
        <v>3020</v>
      </c>
      <c r="E218" s="87" t="s">
        <v>12</v>
      </c>
      <c r="F218" s="89">
        <v>1720800</v>
      </c>
      <c r="G218" s="91"/>
    </row>
    <row r="219" spans="1:11">
      <c r="A219" s="134">
        <v>46104</v>
      </c>
      <c r="B219" s="86">
        <v>46104</v>
      </c>
      <c r="C219" s="87" t="s">
        <v>180</v>
      </c>
      <c r="D219" s="88">
        <f>IFERROR(VLOOKUP(E219,Accounts!$B$2:$C$66,2,FALSE),0)</f>
        <v>3110</v>
      </c>
      <c r="E219" s="87" t="s">
        <v>68</v>
      </c>
      <c r="F219" s="90"/>
      <c r="G219" s="68">
        <v>1500000</v>
      </c>
      <c r="I219" s="26"/>
      <c r="J219" s="26"/>
      <c r="K219" s="26"/>
    </row>
    <row r="220" spans="1:11">
      <c r="A220" s="134">
        <v>46105</v>
      </c>
      <c r="B220" s="86">
        <v>46104</v>
      </c>
      <c r="C220" s="87" t="s">
        <v>180</v>
      </c>
      <c r="D220" s="88">
        <f>IFERROR(VLOOKUP(E220,Accounts!$B$2:$C$66,2,FALSE),0)</f>
        <v>3030</v>
      </c>
      <c r="E220" s="87" t="s">
        <v>13</v>
      </c>
      <c r="F220" s="90"/>
      <c r="G220" s="68">
        <v>70800</v>
      </c>
    </row>
    <row r="221" spans="1:11">
      <c r="A221" s="134">
        <v>46106</v>
      </c>
      <c r="B221" s="86">
        <v>46104</v>
      </c>
      <c r="C221" s="87" t="s">
        <v>180</v>
      </c>
      <c r="D221" s="88">
        <f>IFERROR(VLOOKUP(E221,Accounts!$B$2:$C$66,2,FALSE),0)</f>
        <v>7010</v>
      </c>
      <c r="E221" s="87" t="s">
        <v>50</v>
      </c>
      <c r="F221" s="90"/>
      <c r="G221" s="68">
        <f>F218-G219-G220</f>
        <v>150000</v>
      </c>
    </row>
    <row r="222" spans="1:11" s="31" customFormat="1">
      <c r="A222" s="134">
        <v>46107</v>
      </c>
      <c r="B222" s="86">
        <v>46106</v>
      </c>
      <c r="C222" s="87" t="s">
        <v>146</v>
      </c>
      <c r="D222" s="88">
        <f>IFERROR(VLOOKUP(E222,Accounts!$B$2:$C$66,2,FALSE),0)</f>
        <v>3020</v>
      </c>
      <c r="E222" s="87" t="s">
        <v>12</v>
      </c>
      <c r="F222" s="89">
        <v>100000</v>
      </c>
      <c r="G222" s="91"/>
    </row>
    <row r="223" spans="1:11" s="31" customFormat="1">
      <c r="A223" s="134">
        <v>46107</v>
      </c>
      <c r="B223" s="86">
        <v>46106</v>
      </c>
      <c r="C223" s="87" t="s">
        <v>146</v>
      </c>
      <c r="D223" s="88">
        <f>IFERROR(VLOOKUP(E223,Accounts!$B$2:$C$66,2,FALSE),0)</f>
        <v>7010</v>
      </c>
      <c r="E223" s="87" t="s">
        <v>50</v>
      </c>
      <c r="F223" s="89"/>
      <c r="G223" s="101">
        <v>50000</v>
      </c>
    </row>
    <row r="224" spans="1:11" s="31" customFormat="1">
      <c r="A224" s="134">
        <v>46108</v>
      </c>
      <c r="B224" s="86">
        <v>46106</v>
      </c>
      <c r="C224" s="87" t="s">
        <v>146</v>
      </c>
      <c r="D224" s="88">
        <f>IFERROR(VLOOKUP(E224,Accounts!$B$2:$C$66,2,FALSE),0)</f>
        <v>3110</v>
      </c>
      <c r="E224" s="87" t="s">
        <v>68</v>
      </c>
      <c r="F224" s="90"/>
      <c r="G224" s="101">
        <v>50000</v>
      </c>
    </row>
    <row r="225" spans="1:7">
      <c r="A225" s="134">
        <v>46109</v>
      </c>
      <c r="B225" s="86">
        <v>46107</v>
      </c>
      <c r="C225" s="87" t="s">
        <v>115</v>
      </c>
      <c r="D225" s="88">
        <f>IFERROR(VLOOKUP(E225,Accounts!$B$2:$C$66,2,FALSE),0)</f>
        <v>6280</v>
      </c>
      <c r="E225" s="87" t="s">
        <v>67</v>
      </c>
      <c r="F225" s="90">
        <v>500</v>
      </c>
      <c r="G225" s="91"/>
    </row>
    <row r="226" spans="1:7">
      <c r="A226" s="134">
        <v>46110</v>
      </c>
      <c r="B226" s="86">
        <v>46107</v>
      </c>
      <c r="C226" s="87" t="s">
        <v>115</v>
      </c>
      <c r="D226" s="88">
        <f>IFERROR(VLOOKUP(E226,Accounts!$B$2:$C$66,2,FALSE),0)</f>
        <v>3020</v>
      </c>
      <c r="E226" s="87" t="s">
        <v>12</v>
      </c>
      <c r="F226" s="90"/>
      <c r="G226" s="91">
        <v>500</v>
      </c>
    </row>
    <row r="227" spans="1:7">
      <c r="A227" s="134">
        <v>46110</v>
      </c>
      <c r="B227" s="86">
        <v>46107</v>
      </c>
      <c r="C227" s="87" t="s">
        <v>194</v>
      </c>
      <c r="D227" s="88">
        <f>IFERROR(VLOOKUP(E227,Accounts!$B$2:$C$66,2,FALSE),0)</f>
        <v>6110</v>
      </c>
      <c r="E227" s="87" t="s">
        <v>38</v>
      </c>
      <c r="F227" s="89">
        <v>541501</v>
      </c>
      <c r="G227" s="68"/>
    </row>
    <row r="228" spans="1:7">
      <c r="A228" s="134">
        <v>46110</v>
      </c>
      <c r="B228" s="86">
        <v>46107</v>
      </c>
      <c r="C228" s="87" t="s">
        <v>194</v>
      </c>
      <c r="D228" s="88">
        <f>IFERROR(VLOOKUP(E228,Accounts!$B$2:$C$66,2,FALSE),0)</f>
        <v>2540</v>
      </c>
      <c r="E228" s="87" t="s">
        <v>71</v>
      </c>
      <c r="F228" s="89"/>
      <c r="G228" s="68">
        <v>114000</v>
      </c>
    </row>
    <row r="229" spans="1:7">
      <c r="A229" s="134">
        <v>46110</v>
      </c>
      <c r="B229" s="86">
        <v>46107</v>
      </c>
      <c r="C229" s="87" t="s">
        <v>194</v>
      </c>
      <c r="D229" s="88">
        <f>IFERROR(VLOOKUP(E229,Accounts!$B$2:$C$66,2,FALSE),0)</f>
        <v>2550</v>
      </c>
      <c r="E229" s="87" t="s">
        <v>97</v>
      </c>
      <c r="F229" s="89"/>
      <c r="G229" s="68">
        <v>3000</v>
      </c>
    </row>
    <row r="230" spans="1:7">
      <c r="A230" s="134">
        <v>46110</v>
      </c>
      <c r="B230" s="86">
        <v>46107</v>
      </c>
      <c r="C230" s="87" t="s">
        <v>194</v>
      </c>
      <c r="D230" s="88">
        <f>IFERROR(VLOOKUP(E230,Accounts!$B$2:$C$66,2,FALSE),0)</f>
        <v>2560</v>
      </c>
      <c r="E230" s="87" t="s">
        <v>98</v>
      </c>
      <c r="F230" s="89"/>
      <c r="G230" s="68">
        <v>70000</v>
      </c>
    </row>
    <row r="231" spans="1:7">
      <c r="A231" s="134">
        <v>46110</v>
      </c>
      <c r="B231" s="86">
        <v>46107</v>
      </c>
      <c r="C231" s="87" t="s">
        <v>194</v>
      </c>
      <c r="D231" s="88">
        <f>IFERROR(VLOOKUP(E231,Accounts!$B$2:$C$66,2,FALSE),0)</f>
        <v>2570</v>
      </c>
      <c r="E231" s="87" t="s">
        <v>99</v>
      </c>
      <c r="F231" s="89"/>
      <c r="G231" s="68">
        <v>1773</v>
      </c>
    </row>
    <row r="232" spans="1:7">
      <c r="A232" s="134">
        <v>46110</v>
      </c>
      <c r="B232" s="86">
        <v>46107</v>
      </c>
      <c r="C232" s="87" t="s">
        <v>194</v>
      </c>
      <c r="D232" s="88">
        <f>IFERROR(VLOOKUP(E232,Accounts!$B$2:$C$66,2,FALSE),0)</f>
        <v>2580</v>
      </c>
      <c r="E232" s="87" t="s">
        <v>100</v>
      </c>
      <c r="F232" s="89"/>
      <c r="G232" s="68">
        <v>352728</v>
      </c>
    </row>
    <row r="233" spans="1:7">
      <c r="A233" s="134">
        <v>46111</v>
      </c>
      <c r="B233" s="86">
        <v>46107</v>
      </c>
      <c r="C233" s="87" t="s">
        <v>181</v>
      </c>
      <c r="D233" s="88">
        <f>IFERROR(VLOOKUP(E233,Accounts!$B$2:$C$66,2,FALSE),0)</f>
        <v>2580</v>
      </c>
      <c r="E233" s="87" t="s">
        <v>100</v>
      </c>
      <c r="F233" s="89">
        <v>352728</v>
      </c>
      <c r="G233" s="68"/>
    </row>
    <row r="234" spans="1:7">
      <c r="A234" s="134">
        <v>46112</v>
      </c>
      <c r="B234" s="86">
        <v>46107</v>
      </c>
      <c r="C234" s="87" t="s">
        <v>181</v>
      </c>
      <c r="D234" s="88">
        <f>IFERROR(VLOOKUP(E234,Accounts!$B$2:$C$66,2,FALSE),0)</f>
        <v>3020</v>
      </c>
      <c r="E234" s="87" t="s">
        <v>12</v>
      </c>
      <c r="F234" s="89"/>
      <c r="G234" s="68">
        <v>352728</v>
      </c>
    </row>
    <row r="235" spans="1:7">
      <c r="A235" s="134">
        <v>46099</v>
      </c>
      <c r="B235" s="86">
        <v>46109</v>
      </c>
      <c r="C235" s="87" t="s">
        <v>182</v>
      </c>
      <c r="D235" s="88">
        <f>IFERROR(VLOOKUP(E235,Accounts!$B$2:$C$66,2,FALSE),0)</f>
        <v>3020</v>
      </c>
      <c r="E235" s="87" t="s">
        <v>12</v>
      </c>
      <c r="F235" s="89">
        <v>2394400</v>
      </c>
      <c r="G235" s="91"/>
    </row>
    <row r="236" spans="1:7">
      <c r="A236" s="134">
        <v>46100</v>
      </c>
      <c r="B236" s="86">
        <v>46109</v>
      </c>
      <c r="C236" s="87" t="s">
        <v>182</v>
      </c>
      <c r="D236" s="88">
        <f>IFERROR(VLOOKUP(E236,Accounts!$B$2:$C$66,2,FALSE),0)</f>
        <v>3110</v>
      </c>
      <c r="E236" s="87" t="s">
        <v>68</v>
      </c>
      <c r="F236" s="90"/>
      <c r="G236" s="68">
        <v>2000000</v>
      </c>
    </row>
    <row r="237" spans="1:7">
      <c r="A237" s="134">
        <v>46101</v>
      </c>
      <c r="B237" s="86">
        <v>46109</v>
      </c>
      <c r="C237" s="87" t="s">
        <v>182</v>
      </c>
      <c r="D237" s="88">
        <f>IFERROR(VLOOKUP(E237,Accounts!$B$2:$C$66,2,FALSE),0)</f>
        <v>3030</v>
      </c>
      <c r="E237" s="87" t="s">
        <v>13</v>
      </c>
      <c r="F237" s="90"/>
      <c r="G237" s="68">
        <v>94400</v>
      </c>
    </row>
    <row r="238" spans="1:7">
      <c r="A238" s="134">
        <v>46102</v>
      </c>
      <c r="B238" s="86">
        <v>46109</v>
      </c>
      <c r="C238" s="87" t="s">
        <v>182</v>
      </c>
      <c r="D238" s="88">
        <f>IFERROR(VLOOKUP(E238,Accounts!$B$2:$C$66,2,FALSE),0)</f>
        <v>7010</v>
      </c>
      <c r="E238" s="87" t="s">
        <v>50</v>
      </c>
      <c r="F238" s="90"/>
      <c r="G238" s="68">
        <v>300000</v>
      </c>
    </row>
    <row r="239" spans="1:7">
      <c r="A239" s="134">
        <v>46103</v>
      </c>
      <c r="B239" s="86">
        <v>46111</v>
      </c>
      <c r="C239" s="87" t="s">
        <v>183</v>
      </c>
      <c r="D239" s="88">
        <f>IFERROR(VLOOKUP(E239,Accounts!$B$2:$C$66,2,FALSE),0)</f>
        <v>3030</v>
      </c>
      <c r="E239" s="87" t="s">
        <v>13</v>
      </c>
      <c r="F239" s="89">
        <v>23600</v>
      </c>
      <c r="G239" s="91"/>
    </row>
    <row r="240" spans="1:7">
      <c r="A240" s="134">
        <v>46104</v>
      </c>
      <c r="B240" s="86">
        <v>46111</v>
      </c>
      <c r="C240" s="87" t="s">
        <v>183</v>
      </c>
      <c r="D240" s="88">
        <f>IFERROR(VLOOKUP(E240,Accounts!$B$2:$C$66,2,FALSE),0)</f>
        <v>3110</v>
      </c>
      <c r="E240" s="87" t="s">
        <v>68</v>
      </c>
      <c r="F240" s="89">
        <v>500000</v>
      </c>
      <c r="G240" s="91"/>
    </row>
    <row r="241" spans="1:9">
      <c r="A241" s="134">
        <v>46105</v>
      </c>
      <c r="B241" s="86">
        <v>46111</v>
      </c>
      <c r="C241" s="87" t="s">
        <v>183</v>
      </c>
      <c r="D241" s="88">
        <f>IFERROR(VLOOKUP(E241,Accounts!$B$2:$C$66,2,FALSE),0)</f>
        <v>3020</v>
      </c>
      <c r="E241" s="87" t="s">
        <v>12</v>
      </c>
      <c r="F241" s="90"/>
      <c r="G241" s="68">
        <v>500000</v>
      </c>
    </row>
    <row r="242" spans="1:9">
      <c r="A242" s="134">
        <v>46106</v>
      </c>
      <c r="B242" s="86">
        <v>46111</v>
      </c>
      <c r="C242" s="87" t="s">
        <v>183</v>
      </c>
      <c r="D242" s="88">
        <f>IFERROR(VLOOKUP(E242,Accounts!$B$2:$C$66,2,FALSE),0)</f>
        <v>7020</v>
      </c>
      <c r="E242" s="87" t="s">
        <v>51</v>
      </c>
      <c r="F242" s="90"/>
      <c r="G242" s="68">
        <v>20000</v>
      </c>
    </row>
    <row r="243" spans="1:9">
      <c r="A243" s="134">
        <v>46107</v>
      </c>
      <c r="B243" s="86">
        <v>46111</v>
      </c>
      <c r="C243" s="87" t="s">
        <v>183</v>
      </c>
      <c r="D243" s="88">
        <f>IFERROR(VLOOKUP(E243,Accounts!$B$2:$C$66,2,FALSE),0)</f>
        <v>2530</v>
      </c>
      <c r="E243" s="87" t="s">
        <v>104</v>
      </c>
      <c r="F243" s="90"/>
      <c r="G243" s="68">
        <v>3600</v>
      </c>
    </row>
    <row r="244" spans="1:9" s="31" customFormat="1">
      <c r="A244" s="134">
        <v>46107</v>
      </c>
      <c r="B244" s="86">
        <v>46111</v>
      </c>
      <c r="C244" s="87" t="s">
        <v>184</v>
      </c>
      <c r="D244" s="88">
        <f>IFERROR(VLOOKUP(E244,Accounts!$B$2:$C$66,2,FALSE),0)</f>
        <v>3020</v>
      </c>
      <c r="E244" s="87" t="s">
        <v>12</v>
      </c>
      <c r="F244" s="89">
        <v>573000</v>
      </c>
      <c r="G244" s="91"/>
    </row>
    <row r="245" spans="1:9" s="31" customFormat="1">
      <c r="A245" s="134">
        <v>46108</v>
      </c>
      <c r="B245" s="86">
        <v>46111</v>
      </c>
      <c r="C245" s="87" t="s">
        <v>184</v>
      </c>
      <c r="D245" s="88">
        <f>IFERROR(VLOOKUP(E245,Accounts!$B$2:$C$66,2,FALSE),0)</f>
        <v>3030</v>
      </c>
      <c r="E245" s="87" t="s">
        <v>13</v>
      </c>
      <c r="F245" s="90"/>
      <c r="G245" s="68">
        <v>23600</v>
      </c>
    </row>
    <row r="246" spans="1:9" s="31" customFormat="1">
      <c r="A246" s="134">
        <v>46109</v>
      </c>
      <c r="B246" s="86">
        <v>46111</v>
      </c>
      <c r="C246" s="87" t="s">
        <v>184</v>
      </c>
      <c r="D246" s="88">
        <f>IFERROR(VLOOKUP(E246,Accounts!$B$2:$C$66,2,FALSE),0)</f>
        <v>7010</v>
      </c>
      <c r="E246" s="87" t="s">
        <v>50</v>
      </c>
      <c r="F246" s="90"/>
      <c r="G246" s="68">
        <v>50000</v>
      </c>
    </row>
    <row r="247" spans="1:9" s="31" customFormat="1">
      <c r="A247" s="134">
        <v>46110</v>
      </c>
      <c r="B247" s="86">
        <v>46111</v>
      </c>
      <c r="C247" s="87" t="s">
        <v>184</v>
      </c>
      <c r="D247" s="88">
        <f>IFERROR(VLOOKUP(E247,Accounts!$B$2:$C$66,2,FALSE),0)</f>
        <v>3110</v>
      </c>
      <c r="E247" s="87" t="s">
        <v>68</v>
      </c>
      <c r="F247" s="90"/>
      <c r="G247" s="68">
        <f>F244-G245-G246</f>
        <v>499400</v>
      </c>
      <c r="H247" s="31" t="s">
        <v>192</v>
      </c>
    </row>
    <row r="248" spans="1:9">
      <c r="A248" s="134">
        <v>46111</v>
      </c>
      <c r="B248" s="86">
        <v>46112</v>
      </c>
      <c r="C248" s="87" t="s">
        <v>114</v>
      </c>
      <c r="D248" s="88">
        <f>IFERROR(VLOOKUP(E248,Accounts!$B$2:$C$66,2,FALSE),0)</f>
        <v>6280</v>
      </c>
      <c r="E248" s="87" t="s">
        <v>67</v>
      </c>
      <c r="F248" s="89">
        <v>500</v>
      </c>
      <c r="G248" s="91"/>
    </row>
    <row r="249" spans="1:9">
      <c r="A249" s="134">
        <v>46112</v>
      </c>
      <c r="B249" s="86">
        <v>46112</v>
      </c>
      <c r="C249" s="87" t="s">
        <v>114</v>
      </c>
      <c r="D249" s="88">
        <f>IFERROR(VLOOKUP(E249,Accounts!$B$2:$C$66,2,FALSE),0)</f>
        <v>3020</v>
      </c>
      <c r="E249" s="87" t="s">
        <v>12</v>
      </c>
      <c r="F249" s="90"/>
      <c r="G249" s="91">
        <v>500</v>
      </c>
    </row>
    <row r="250" spans="1:9" s="30" customFormat="1">
      <c r="A250" s="137">
        <v>46107</v>
      </c>
      <c r="B250" s="110">
        <v>46112</v>
      </c>
      <c r="C250" s="105" t="s">
        <v>190</v>
      </c>
      <c r="D250" s="111">
        <f>IFERROR(VLOOKUP(E250,Accounts!$B$2:$C$66,2,FALSE),0)</f>
        <v>2640</v>
      </c>
      <c r="E250" s="112" t="s">
        <v>189</v>
      </c>
      <c r="F250" s="113">
        <v>204165</v>
      </c>
      <c r="G250" s="114"/>
    </row>
    <row r="251" spans="1:9" s="30" customFormat="1">
      <c r="A251" s="138">
        <v>46108</v>
      </c>
      <c r="B251" s="115">
        <v>46112</v>
      </c>
      <c r="C251" s="105" t="s">
        <v>190</v>
      </c>
      <c r="D251" s="116">
        <f>IFERROR(VLOOKUP(E251,Accounts!$B$2:$C$66,2,FALSE),0)</f>
        <v>3020</v>
      </c>
      <c r="E251" s="117" t="s">
        <v>12</v>
      </c>
      <c r="F251" s="118"/>
      <c r="G251" s="119">
        <v>204165</v>
      </c>
    </row>
    <row r="252" spans="1:9" s="31" customFormat="1">
      <c r="A252" s="135">
        <v>46104</v>
      </c>
      <c r="B252" s="120">
        <v>46112</v>
      </c>
      <c r="C252" s="87" t="s">
        <v>185</v>
      </c>
      <c r="D252" s="88">
        <f>IFERROR(VLOOKUP(E252,Accounts!$B$2:$C$66,2,FALSE),0)</f>
        <v>3020</v>
      </c>
      <c r="E252" s="87" t="s">
        <v>12</v>
      </c>
      <c r="F252" s="89">
        <v>1041600</v>
      </c>
      <c r="G252" s="91"/>
    </row>
    <row r="253" spans="1:9" s="31" customFormat="1">
      <c r="A253" s="135">
        <v>46105</v>
      </c>
      <c r="B253" s="121">
        <v>46112</v>
      </c>
      <c r="C253" s="87" t="s">
        <v>185</v>
      </c>
      <c r="D253" s="88">
        <f>IFERROR(VLOOKUP(E253,Accounts!$B$2:$C$66,2,FALSE),0)</f>
        <v>3030</v>
      </c>
      <c r="E253" s="87" t="s">
        <v>13</v>
      </c>
      <c r="F253" s="90"/>
      <c r="G253" s="68">
        <f>141600+450000</f>
        <v>591600</v>
      </c>
    </row>
    <row r="254" spans="1:9" s="31" customFormat="1">
      <c r="A254" s="135">
        <v>46107</v>
      </c>
      <c r="B254" s="120">
        <v>46112</v>
      </c>
      <c r="C254" s="87" t="s">
        <v>185</v>
      </c>
      <c r="D254" s="88">
        <f>IFERROR(VLOOKUP(E254,Accounts!$B$2:$C$66,2,FALSE),0)</f>
        <v>7010</v>
      </c>
      <c r="E254" s="87" t="s">
        <v>50</v>
      </c>
      <c r="F254" s="90"/>
      <c r="G254" s="68">
        <f>F252-G253</f>
        <v>450000</v>
      </c>
      <c r="I254" s="69"/>
    </row>
    <row r="255" spans="1:9" s="31" customFormat="1">
      <c r="A255" s="135">
        <v>46108</v>
      </c>
      <c r="B255" s="121">
        <v>46112</v>
      </c>
      <c r="C255" s="87" t="s">
        <v>168</v>
      </c>
      <c r="D255" s="88">
        <f>IFERROR(VLOOKUP(E255,Accounts!$B$2:$C$66,2,FALSE),0)</f>
        <v>3020</v>
      </c>
      <c r="E255" s="87" t="s">
        <v>12</v>
      </c>
      <c r="F255" s="89">
        <v>175000</v>
      </c>
      <c r="G255" s="91"/>
    </row>
    <row r="256" spans="1:9" s="31" customFormat="1">
      <c r="A256" s="135">
        <v>46109</v>
      </c>
      <c r="B256" s="120">
        <v>46112</v>
      </c>
      <c r="C256" s="87" t="s">
        <v>168</v>
      </c>
      <c r="D256" s="88">
        <f>IFERROR(VLOOKUP(E256,Accounts!$B$2:$C$66,2,FALSE),0)</f>
        <v>7010</v>
      </c>
      <c r="E256" s="87" t="s">
        <v>50</v>
      </c>
      <c r="F256" s="90"/>
      <c r="G256" s="68">
        <v>175000</v>
      </c>
    </row>
    <row r="257" spans="1:9">
      <c r="A257" s="134">
        <v>46109</v>
      </c>
      <c r="B257" s="121">
        <v>46112</v>
      </c>
      <c r="C257" s="87" t="s">
        <v>186</v>
      </c>
      <c r="D257" s="88">
        <f>IFERROR(VLOOKUP(E257,Accounts!$B$2:$C$66,2,FALSE),0)</f>
        <v>3030</v>
      </c>
      <c r="E257" s="87" t="s">
        <v>13</v>
      </c>
      <c r="F257" s="89">
        <v>75520</v>
      </c>
      <c r="G257" s="91"/>
    </row>
    <row r="258" spans="1:9">
      <c r="A258" s="134">
        <v>46109</v>
      </c>
      <c r="B258" s="120">
        <v>46112</v>
      </c>
      <c r="C258" s="87" t="s">
        <v>186</v>
      </c>
      <c r="D258" s="88">
        <f>IFERROR(VLOOKUP(E258,Accounts!$B$2:$C$66,2,FALSE),0)</f>
        <v>3110</v>
      </c>
      <c r="E258" s="87" t="s">
        <v>68</v>
      </c>
      <c r="F258" s="89">
        <v>1600000</v>
      </c>
      <c r="G258" s="91"/>
    </row>
    <row r="259" spans="1:9">
      <c r="A259" s="134">
        <v>46109</v>
      </c>
      <c r="B259" s="121">
        <v>46112</v>
      </c>
      <c r="C259" s="87" t="s">
        <v>186</v>
      </c>
      <c r="D259" s="88">
        <f>IFERROR(VLOOKUP(E259,Accounts!$B$2:$C$66,2,FALSE),0)</f>
        <v>3020</v>
      </c>
      <c r="E259" s="87" t="s">
        <v>12</v>
      </c>
      <c r="F259" s="90"/>
      <c r="G259" s="68">
        <v>1600000</v>
      </c>
    </row>
    <row r="260" spans="1:9">
      <c r="A260" s="134">
        <v>46109</v>
      </c>
      <c r="B260" s="120">
        <v>46112</v>
      </c>
      <c r="C260" s="87" t="s">
        <v>186</v>
      </c>
      <c r="D260" s="88">
        <f>IFERROR(VLOOKUP(E260,Accounts!$B$2:$C$66,2,FALSE),0)</f>
        <v>7020</v>
      </c>
      <c r="E260" s="87" t="s">
        <v>51</v>
      </c>
      <c r="F260" s="90"/>
      <c r="G260" s="68">
        <v>64000</v>
      </c>
      <c r="I260" s="26"/>
    </row>
    <row r="261" spans="1:9">
      <c r="A261" s="134">
        <v>46109</v>
      </c>
      <c r="B261" s="121">
        <v>46112</v>
      </c>
      <c r="C261" s="87" t="s">
        <v>186</v>
      </c>
      <c r="D261" s="88">
        <f>IFERROR(VLOOKUP(E261,Accounts!$B$2:$C$66,2,FALSE),0)</f>
        <v>2530</v>
      </c>
      <c r="E261" s="87" t="s">
        <v>104</v>
      </c>
      <c r="F261" s="90"/>
      <c r="G261" s="68">
        <v>11520</v>
      </c>
      <c r="I261" s="26"/>
    </row>
    <row r="262" spans="1:9">
      <c r="A262" s="134">
        <v>46109</v>
      </c>
      <c r="B262" s="120">
        <v>46112</v>
      </c>
      <c r="C262" s="87" t="s">
        <v>111</v>
      </c>
      <c r="D262" s="88">
        <f>IFERROR(VLOOKUP(E262,Accounts!$B$2:$C$66,2,FALSE),0)</f>
        <v>6280</v>
      </c>
      <c r="E262" s="87" t="s">
        <v>67</v>
      </c>
      <c r="F262" s="89">
        <v>2000</v>
      </c>
      <c r="G262" s="68"/>
    </row>
    <row r="263" spans="1:9">
      <c r="A263" s="134">
        <v>46109</v>
      </c>
      <c r="B263" s="121">
        <v>46112</v>
      </c>
      <c r="C263" s="87" t="s">
        <v>111</v>
      </c>
      <c r="D263" s="88">
        <f>IFERROR(VLOOKUP(E263,Accounts!$B$2:$C$66,2,FALSE),0)</f>
        <v>3020</v>
      </c>
      <c r="E263" s="87" t="s">
        <v>12</v>
      </c>
      <c r="F263" s="89"/>
      <c r="G263" s="68">
        <v>2000</v>
      </c>
    </row>
    <row r="264" spans="1:9">
      <c r="A264" s="134">
        <v>46109</v>
      </c>
      <c r="B264" s="122">
        <v>46112</v>
      </c>
      <c r="C264" s="87" t="s">
        <v>193</v>
      </c>
      <c r="D264" s="88">
        <f>IFERROR(VLOOKUP(E264,Accounts!$B$2:$C$66,2,FALSE),0)</f>
        <v>3030</v>
      </c>
      <c r="E264" s="87" t="s">
        <v>13</v>
      </c>
      <c r="F264" s="89">
        <v>50000</v>
      </c>
      <c r="G264" s="68"/>
    </row>
    <row r="265" spans="1:9">
      <c r="A265" s="134">
        <v>46109</v>
      </c>
      <c r="B265" s="122">
        <v>46112</v>
      </c>
      <c r="C265" s="87" t="s">
        <v>193</v>
      </c>
      <c r="D265" s="88">
        <f>IFERROR(VLOOKUP(E265,Accounts!$B$2:$C$66,2,FALSE),0)</f>
        <v>7010</v>
      </c>
      <c r="E265" s="87" t="s">
        <v>50</v>
      </c>
      <c r="F265" s="89"/>
      <c r="G265" s="68">
        <v>50000</v>
      </c>
    </row>
    <row r="266" spans="1:9">
      <c r="A266" s="134">
        <v>46109</v>
      </c>
      <c r="B266" s="86">
        <v>46112</v>
      </c>
      <c r="C266" s="87" t="s">
        <v>199</v>
      </c>
      <c r="D266" s="88">
        <f>IFERROR(VLOOKUP(E266,Accounts!$B$2:$C$66,2,FALSE),0)</f>
        <v>6300</v>
      </c>
      <c r="E266" s="87" t="s">
        <v>48</v>
      </c>
      <c r="F266" s="89">
        <f>211000-11500</f>
        <v>199500</v>
      </c>
      <c r="G266" s="68"/>
    </row>
    <row r="267" spans="1:9">
      <c r="A267" s="134">
        <v>46109</v>
      </c>
      <c r="B267" s="86">
        <v>46112</v>
      </c>
      <c r="C267" s="87" t="s">
        <v>199</v>
      </c>
      <c r="D267" s="88">
        <f>IFERROR(VLOOKUP(E267,Accounts!$B$2:$C$66,2,FALSE),0)</f>
        <v>3010</v>
      </c>
      <c r="E267" s="87" t="s">
        <v>11</v>
      </c>
      <c r="F267" s="89"/>
      <c r="G267" s="68">
        <v>199500</v>
      </c>
    </row>
    <row r="268" spans="1:9">
      <c r="A268" s="134">
        <v>46109</v>
      </c>
      <c r="B268" s="86">
        <v>46112</v>
      </c>
      <c r="C268" s="87" t="s">
        <v>200</v>
      </c>
      <c r="D268" s="88">
        <f>IFERROR(VLOOKUP(E268,Accounts!$B$2:$C$66,2,FALSE),0)</f>
        <v>3110</v>
      </c>
      <c r="E268" s="87" t="s">
        <v>68</v>
      </c>
      <c r="F268" s="89">
        <v>1800</v>
      </c>
      <c r="G268" s="68"/>
    </row>
    <row r="269" spans="1:9">
      <c r="A269" s="134">
        <v>46109</v>
      </c>
      <c r="B269" s="86">
        <v>46112</v>
      </c>
      <c r="C269" s="87" t="s">
        <v>200</v>
      </c>
      <c r="D269" s="88">
        <f>IFERROR(VLOOKUP(E269,Accounts!$B$2:$C$66,2,FALSE),0)</f>
        <v>1050</v>
      </c>
      <c r="E269" s="87" t="s">
        <v>5</v>
      </c>
      <c r="F269" s="89"/>
      <c r="G269" s="68">
        <v>1800</v>
      </c>
    </row>
    <row r="270" spans="1:9">
      <c r="A270" s="134">
        <v>46113</v>
      </c>
      <c r="B270" s="86">
        <v>46114</v>
      </c>
      <c r="C270" s="87" t="s">
        <v>201</v>
      </c>
      <c r="D270" s="88">
        <f>IFERROR(VLOOKUP(E270,Accounts!$B$2:$C$66,2,FALSE),0)</f>
        <v>3030</v>
      </c>
      <c r="E270" s="87" t="s">
        <v>13</v>
      </c>
      <c r="F270" s="89">
        <v>23600</v>
      </c>
      <c r="G270" s="68"/>
    </row>
    <row r="271" spans="1:9">
      <c r="A271" s="134">
        <v>46113</v>
      </c>
      <c r="B271" s="86">
        <v>46114</v>
      </c>
      <c r="C271" s="87" t="s">
        <v>201</v>
      </c>
      <c r="D271" s="88">
        <f>IFERROR(VLOOKUP(E271,Accounts!$B$2:$C$66,2,FALSE),0)</f>
        <v>3110</v>
      </c>
      <c r="E271" s="87" t="s">
        <v>68</v>
      </c>
      <c r="F271" s="89">
        <v>500000</v>
      </c>
      <c r="G271" s="68"/>
    </row>
    <row r="272" spans="1:9">
      <c r="A272" s="134">
        <v>46113</v>
      </c>
      <c r="B272" s="86">
        <v>46114</v>
      </c>
      <c r="C272" s="87" t="s">
        <v>201</v>
      </c>
      <c r="D272" s="88">
        <f>IFERROR(VLOOKUP(E272,Accounts!$B$2:$C$66,2,FALSE),0)</f>
        <v>3020</v>
      </c>
      <c r="E272" s="87" t="s">
        <v>12</v>
      </c>
      <c r="F272" s="89"/>
      <c r="G272" s="68">
        <v>500000</v>
      </c>
    </row>
    <row r="273" spans="1:7">
      <c r="A273" s="134">
        <v>46113</v>
      </c>
      <c r="B273" s="86">
        <v>46114</v>
      </c>
      <c r="C273" s="87" t="s">
        <v>201</v>
      </c>
      <c r="D273" s="88">
        <f>IFERROR(VLOOKUP(E273,Accounts!$B$2:$C$66,2,FALSE),0)</f>
        <v>7020</v>
      </c>
      <c r="E273" s="87" t="s">
        <v>51</v>
      </c>
      <c r="F273" s="89"/>
      <c r="G273" s="68">
        <v>20000</v>
      </c>
    </row>
    <row r="274" spans="1:7">
      <c r="A274" s="134">
        <v>46113</v>
      </c>
      <c r="B274" s="86">
        <v>46114</v>
      </c>
      <c r="C274" s="87" t="s">
        <v>201</v>
      </c>
      <c r="D274" s="88">
        <f>IFERROR(VLOOKUP(E274,Accounts!$B$2:$C$66,2,FALSE),0)</f>
        <v>2530</v>
      </c>
      <c r="E274" s="87" t="s">
        <v>104</v>
      </c>
      <c r="F274" s="89"/>
      <c r="G274" s="68">
        <v>3600</v>
      </c>
    </row>
    <row r="275" spans="1:7">
      <c r="A275" s="134">
        <v>46113</v>
      </c>
      <c r="B275" s="86">
        <v>46114</v>
      </c>
      <c r="C275" s="87" t="s">
        <v>114</v>
      </c>
      <c r="D275" s="88">
        <f>IFERROR(VLOOKUP(E275,Accounts!$B$2:$C$66,2,FALSE),0)</f>
        <v>6280</v>
      </c>
      <c r="E275" s="87" t="s">
        <v>67</v>
      </c>
      <c r="F275" s="89">
        <v>500</v>
      </c>
      <c r="G275" s="68"/>
    </row>
    <row r="276" spans="1:7">
      <c r="A276" s="134">
        <v>46113</v>
      </c>
      <c r="B276" s="86">
        <v>46114</v>
      </c>
      <c r="C276" s="87" t="s">
        <v>114</v>
      </c>
      <c r="D276" s="88">
        <f>IFERROR(VLOOKUP(E276,Accounts!$B$2:$C$66,2,FALSE),0)</f>
        <v>3020</v>
      </c>
      <c r="E276" s="87" t="s">
        <v>12</v>
      </c>
      <c r="F276" s="89"/>
      <c r="G276" s="68">
        <v>500</v>
      </c>
    </row>
    <row r="277" spans="1:7">
      <c r="A277" s="134">
        <v>46113</v>
      </c>
      <c r="B277" s="86">
        <v>46114</v>
      </c>
      <c r="C277" s="87" t="s">
        <v>202</v>
      </c>
      <c r="D277" s="88">
        <f>IFERROR(VLOOKUP(E277,Accounts!$B$2:$C$66,2,FALSE),0)</f>
        <v>2540</v>
      </c>
      <c r="E277" s="87" t="s">
        <v>71</v>
      </c>
      <c r="F277" s="89">
        <v>114000</v>
      </c>
      <c r="G277" s="91"/>
    </row>
    <row r="278" spans="1:7">
      <c r="A278" s="134">
        <v>46113</v>
      </c>
      <c r="B278" s="86">
        <v>46114</v>
      </c>
      <c r="C278" s="87" t="s">
        <v>202</v>
      </c>
      <c r="D278" s="88">
        <f>IFERROR(VLOOKUP(E278,Accounts!$B$2:$C$66,2,FALSE),0)</f>
        <v>3020</v>
      </c>
      <c r="E278" s="87" t="s">
        <v>12</v>
      </c>
      <c r="F278" s="90"/>
      <c r="G278" s="68">
        <v>114000</v>
      </c>
    </row>
    <row r="279" spans="1:7">
      <c r="A279" s="134">
        <v>46113</v>
      </c>
      <c r="B279" s="86">
        <v>46114</v>
      </c>
      <c r="C279" s="87" t="s">
        <v>203</v>
      </c>
      <c r="D279" s="88">
        <f>IFERROR(VLOOKUP(E279,Accounts!$B$2:$C$66,2,FALSE),0)</f>
        <v>2560</v>
      </c>
      <c r="E279" s="87" t="s">
        <v>98</v>
      </c>
      <c r="F279" s="89">
        <v>70000</v>
      </c>
      <c r="G279" s="68"/>
    </row>
    <row r="280" spans="1:7">
      <c r="A280" s="134">
        <v>46113</v>
      </c>
      <c r="B280" s="86">
        <v>46114</v>
      </c>
      <c r="C280" s="87" t="s">
        <v>203</v>
      </c>
      <c r="D280" s="88">
        <f>IFERROR(VLOOKUP(E280,Accounts!$B$2:$C$66,2,FALSE),0)</f>
        <v>3020</v>
      </c>
      <c r="E280" s="87" t="s">
        <v>12</v>
      </c>
      <c r="F280" s="89"/>
      <c r="G280" s="68">
        <v>70000</v>
      </c>
    </row>
    <row r="281" spans="1:7">
      <c r="A281" s="134">
        <v>46113</v>
      </c>
      <c r="B281" s="86">
        <v>46114</v>
      </c>
      <c r="C281" s="87" t="s">
        <v>204</v>
      </c>
      <c r="D281" s="88">
        <f>IFERROR(VLOOKUP(E281,Accounts!$B$2:$C$66,2,FALSE),0)</f>
        <v>2550</v>
      </c>
      <c r="E281" s="87" t="s">
        <v>97</v>
      </c>
      <c r="F281" s="89">
        <v>3000</v>
      </c>
      <c r="G281" s="68"/>
    </row>
    <row r="282" spans="1:7">
      <c r="A282" s="134">
        <v>46113</v>
      </c>
      <c r="B282" s="86">
        <v>46114</v>
      </c>
      <c r="C282" s="87" t="s">
        <v>204</v>
      </c>
      <c r="D282" s="88">
        <f>IFERROR(VLOOKUP(E282,Accounts!$B$2:$C$66,2,FALSE),0)</f>
        <v>3020</v>
      </c>
      <c r="E282" s="87" t="s">
        <v>12</v>
      </c>
      <c r="F282" s="89"/>
      <c r="G282" s="68">
        <v>3000</v>
      </c>
    </row>
    <row r="283" spans="1:7">
      <c r="A283" s="134">
        <v>46113</v>
      </c>
      <c r="B283" s="86">
        <v>46114</v>
      </c>
      <c r="C283" s="87" t="s">
        <v>205</v>
      </c>
      <c r="D283" s="88">
        <f>IFERROR(VLOOKUP(E283,Accounts!$B$2:$C$66,2,FALSE),0)</f>
        <v>2570</v>
      </c>
      <c r="E283" s="87" t="s">
        <v>99</v>
      </c>
      <c r="F283" s="89">
        <v>1773</v>
      </c>
      <c r="G283" s="68"/>
    </row>
    <row r="284" spans="1:7">
      <c r="A284" s="134">
        <v>46113</v>
      </c>
      <c r="B284" s="86">
        <v>46114</v>
      </c>
      <c r="C284" s="87" t="s">
        <v>205</v>
      </c>
      <c r="D284" s="88">
        <f>IFERROR(VLOOKUP(E284,Accounts!$B$2:$C$66,2,FALSE),0)</f>
        <v>3020</v>
      </c>
      <c r="E284" s="87" t="s">
        <v>12</v>
      </c>
      <c r="F284" s="89"/>
      <c r="G284" s="68">
        <v>1773</v>
      </c>
    </row>
    <row r="285" spans="1:7">
      <c r="A285" s="134">
        <v>46113</v>
      </c>
      <c r="B285" s="86">
        <v>46114</v>
      </c>
      <c r="C285" s="87" t="s">
        <v>114</v>
      </c>
      <c r="D285" s="88">
        <f>IFERROR(VLOOKUP(E285,Accounts!$B$2:$C$66,2,FALSE),0)</f>
        <v>6280</v>
      </c>
      <c r="E285" s="87" t="s">
        <v>67</v>
      </c>
      <c r="F285" s="89">
        <v>90</v>
      </c>
      <c r="G285" s="68"/>
    </row>
    <row r="286" spans="1:7">
      <c r="A286" s="134">
        <v>46113</v>
      </c>
      <c r="B286" s="86">
        <v>46114</v>
      </c>
      <c r="C286" s="87" t="s">
        <v>114</v>
      </c>
      <c r="D286" s="88">
        <f>IFERROR(VLOOKUP(E286,Accounts!$B$2:$C$66,2,FALSE),0)</f>
        <v>3020</v>
      </c>
      <c r="E286" s="87" t="s">
        <v>12</v>
      </c>
      <c r="F286" s="89"/>
      <c r="G286" s="68">
        <v>90</v>
      </c>
    </row>
    <row r="287" spans="1:7">
      <c r="A287" s="134">
        <v>46113</v>
      </c>
      <c r="B287" s="86">
        <v>46114</v>
      </c>
      <c r="C287" s="87" t="s">
        <v>112</v>
      </c>
      <c r="D287" s="88">
        <f>IFERROR(VLOOKUP(E287,Accounts!$B$2:$C$66,2,FALSE),0)</f>
        <v>6280</v>
      </c>
      <c r="E287" s="87" t="s">
        <v>67</v>
      </c>
      <c r="F287" s="89">
        <v>500</v>
      </c>
      <c r="G287" s="68"/>
    </row>
    <row r="288" spans="1:7">
      <c r="A288" s="134">
        <v>46113</v>
      </c>
      <c r="B288" s="86">
        <v>46114</v>
      </c>
      <c r="C288" s="87" t="s">
        <v>112</v>
      </c>
      <c r="D288" s="88">
        <f>IFERROR(VLOOKUP(E288,Accounts!$B$2:$C$66,2,FALSE),0)</f>
        <v>3020</v>
      </c>
      <c r="E288" s="87" t="s">
        <v>12</v>
      </c>
      <c r="F288" s="89"/>
      <c r="G288" s="68">
        <v>500</v>
      </c>
    </row>
    <row r="289" spans="1:12">
      <c r="A289" s="134">
        <v>46114</v>
      </c>
      <c r="B289" s="86">
        <v>46114</v>
      </c>
      <c r="C289" s="87" t="s">
        <v>206</v>
      </c>
      <c r="D289" s="88">
        <f>IFERROR(VLOOKUP(E289,Accounts!$B$2:$C$66,2,FALSE),0)</f>
        <v>3030</v>
      </c>
      <c r="E289" s="87" t="s">
        <v>13</v>
      </c>
      <c r="F289" s="89">
        <f>G292+G293</f>
        <v>14160</v>
      </c>
      <c r="G289" s="68"/>
    </row>
    <row r="290" spans="1:12">
      <c r="A290" s="134">
        <v>46114</v>
      </c>
      <c r="B290" s="86">
        <v>46114</v>
      </c>
      <c r="C290" s="87" t="s">
        <v>206</v>
      </c>
      <c r="D290" s="88">
        <f>IFERROR(VLOOKUP(E290,Accounts!$B$2:$C$66,2,FALSE),0)</f>
        <v>3110</v>
      </c>
      <c r="E290" s="87" t="s">
        <v>68</v>
      </c>
      <c r="F290" s="89">
        <v>300000</v>
      </c>
      <c r="G290" s="68"/>
    </row>
    <row r="291" spans="1:12">
      <c r="A291" s="134">
        <v>46115</v>
      </c>
      <c r="B291" s="86">
        <v>46114</v>
      </c>
      <c r="C291" s="87" t="s">
        <v>206</v>
      </c>
      <c r="D291" s="88">
        <f>IFERROR(VLOOKUP(E291,Accounts!$B$2:$C$66,2,FALSE),0)</f>
        <v>3020</v>
      </c>
      <c r="E291" s="87" t="s">
        <v>12</v>
      </c>
      <c r="F291" s="89"/>
      <c r="G291" s="68">
        <v>300000</v>
      </c>
    </row>
    <row r="292" spans="1:12">
      <c r="A292" s="134">
        <v>46116</v>
      </c>
      <c r="B292" s="86">
        <v>46114</v>
      </c>
      <c r="C292" s="87" t="s">
        <v>206</v>
      </c>
      <c r="D292" s="88">
        <f>IFERROR(VLOOKUP(E292,Accounts!$B$2:$C$66,2,FALSE),0)</f>
        <v>7020</v>
      </c>
      <c r="E292" s="87" t="s">
        <v>51</v>
      </c>
      <c r="F292" s="89"/>
      <c r="G292" s="68">
        <v>12000</v>
      </c>
    </row>
    <row r="293" spans="1:12">
      <c r="A293" s="134">
        <v>46117</v>
      </c>
      <c r="B293" s="86">
        <v>46114</v>
      </c>
      <c r="C293" s="87" t="s">
        <v>206</v>
      </c>
      <c r="D293" s="88">
        <f>IFERROR(VLOOKUP(E293,Accounts!$B$2:$C$66,2,FALSE),0)</f>
        <v>2530</v>
      </c>
      <c r="E293" s="87" t="s">
        <v>104</v>
      </c>
      <c r="F293" s="89"/>
      <c r="G293" s="68">
        <v>2160</v>
      </c>
    </row>
    <row r="294" spans="1:12">
      <c r="A294" s="134">
        <v>46117</v>
      </c>
      <c r="B294" s="86">
        <v>46120</v>
      </c>
      <c r="C294" s="87" t="s">
        <v>207</v>
      </c>
      <c r="D294" s="88">
        <f>IFERROR(VLOOKUP(E294,Accounts!$B$2:$C$66,2,FALSE),0)</f>
        <v>3030</v>
      </c>
      <c r="E294" s="87" t="s">
        <v>13</v>
      </c>
      <c r="F294" s="89">
        <v>47200</v>
      </c>
      <c r="G294" s="68"/>
    </row>
    <row r="295" spans="1:12">
      <c r="A295" s="134">
        <v>46117</v>
      </c>
      <c r="B295" s="86">
        <v>46120</v>
      </c>
      <c r="C295" s="87" t="s">
        <v>207</v>
      </c>
      <c r="D295" s="88">
        <f>IFERROR(VLOOKUP(E295,Accounts!$B$2:$C$66,2,FALSE),0)</f>
        <v>3110</v>
      </c>
      <c r="E295" s="87" t="s">
        <v>68</v>
      </c>
      <c r="F295" s="89">
        <v>1000000</v>
      </c>
      <c r="G295" s="68"/>
    </row>
    <row r="296" spans="1:12">
      <c r="A296" s="134">
        <v>46117</v>
      </c>
      <c r="B296" s="86">
        <v>46120</v>
      </c>
      <c r="C296" s="87" t="s">
        <v>207</v>
      </c>
      <c r="D296" s="88">
        <f>IFERROR(VLOOKUP(E296,Accounts!$B$2:$C$66,2,FALSE),0)</f>
        <v>3020</v>
      </c>
      <c r="E296" s="87" t="s">
        <v>12</v>
      </c>
      <c r="F296" s="89"/>
      <c r="G296" s="68">
        <v>1000000</v>
      </c>
    </row>
    <row r="297" spans="1:12">
      <c r="A297" s="134">
        <v>46117</v>
      </c>
      <c r="B297" s="86">
        <v>46120</v>
      </c>
      <c r="C297" s="87" t="s">
        <v>207</v>
      </c>
      <c r="D297" s="88">
        <f>IFERROR(VLOOKUP(E297,Accounts!$B$2:$C$66,2,FALSE),0)</f>
        <v>7020</v>
      </c>
      <c r="E297" s="87" t="s">
        <v>51</v>
      </c>
      <c r="F297" s="89"/>
      <c r="G297" s="68">
        <v>40000</v>
      </c>
    </row>
    <row r="298" spans="1:12">
      <c r="A298" s="134">
        <v>46117</v>
      </c>
      <c r="B298" s="86">
        <v>46120</v>
      </c>
      <c r="C298" s="87" t="s">
        <v>207</v>
      </c>
      <c r="D298" s="88">
        <f>IFERROR(VLOOKUP(E298,Accounts!$B$2:$C$66,2,FALSE),0)</f>
        <v>2530</v>
      </c>
      <c r="E298" s="87" t="s">
        <v>104</v>
      </c>
      <c r="F298" s="89"/>
      <c r="G298" s="68">
        <v>7200</v>
      </c>
    </row>
    <row r="299" spans="1:12" s="31" customFormat="1">
      <c r="A299" s="135">
        <v>46118</v>
      </c>
      <c r="B299" s="104">
        <v>46120</v>
      </c>
      <c r="C299" s="105" t="s">
        <v>208</v>
      </c>
      <c r="D299" s="106">
        <f>IFERROR(VLOOKUP(E299,Accounts!$B$2:$C$66,2,FALSE),0)</f>
        <v>3020</v>
      </c>
      <c r="E299" s="105" t="s">
        <v>12</v>
      </c>
      <c r="F299" s="107">
        <v>10000000</v>
      </c>
      <c r="G299" s="80"/>
    </row>
    <row r="300" spans="1:12" s="31" customFormat="1">
      <c r="A300" s="135">
        <v>46119</v>
      </c>
      <c r="B300" s="104">
        <v>46120</v>
      </c>
      <c r="C300" s="105" t="s">
        <v>208</v>
      </c>
      <c r="D300" s="106">
        <f>IFERROR(VLOOKUP(E300,Accounts!$B$2:$C$66,2,FALSE),0)</f>
        <v>3030</v>
      </c>
      <c r="E300" s="105" t="s">
        <v>13</v>
      </c>
      <c r="F300" s="107"/>
      <c r="G300" s="80">
        <v>472000</v>
      </c>
    </row>
    <row r="301" spans="1:12" s="31" customFormat="1">
      <c r="A301" s="135">
        <v>46120</v>
      </c>
      <c r="B301" s="104">
        <v>46120</v>
      </c>
      <c r="C301" s="105" t="s">
        <v>208</v>
      </c>
      <c r="D301" s="106">
        <f>IFERROR(VLOOKUP(E301,Accounts!$B$2:$C$66,2,FALSE),0)</f>
        <v>7010</v>
      </c>
      <c r="E301" s="105" t="s">
        <v>50</v>
      </c>
      <c r="F301" s="107"/>
      <c r="G301" s="80">
        <v>1000600</v>
      </c>
      <c r="L301" s="69"/>
    </row>
    <row r="302" spans="1:12" s="31" customFormat="1">
      <c r="A302" s="135">
        <v>46121</v>
      </c>
      <c r="B302" s="104">
        <v>46120</v>
      </c>
      <c r="C302" s="105" t="s">
        <v>208</v>
      </c>
      <c r="D302" s="106">
        <f>IFERROR(VLOOKUP(E302,Accounts!$B$2:$C$66,2,FALSE),0)</f>
        <v>3110</v>
      </c>
      <c r="E302" s="105" t="s">
        <v>68</v>
      </c>
      <c r="F302" s="107"/>
      <c r="G302" s="80">
        <v>8527400</v>
      </c>
      <c r="I302" s="69"/>
    </row>
    <row r="303" spans="1:12">
      <c r="A303" s="134">
        <v>46121</v>
      </c>
      <c r="B303" s="86">
        <v>46121</v>
      </c>
      <c r="C303" s="87" t="s">
        <v>209</v>
      </c>
      <c r="D303" s="88">
        <f>IFERROR(VLOOKUP(E303,Accounts!$B$2:$C$66,2,FALSE),0)</f>
        <v>3020</v>
      </c>
      <c r="E303" s="87" t="s">
        <v>12</v>
      </c>
      <c r="F303" s="89">
        <v>1472600</v>
      </c>
      <c r="G303" s="68"/>
      <c r="K303" s="26"/>
    </row>
    <row r="304" spans="1:12">
      <c r="A304" s="134">
        <v>46121</v>
      </c>
      <c r="B304" s="86">
        <v>46121</v>
      </c>
      <c r="C304" s="87" t="s">
        <v>210</v>
      </c>
      <c r="D304" s="88">
        <f>IFERROR(VLOOKUP(E304,Accounts!$B$2:$C$66,2,FALSE),0)</f>
        <v>3110</v>
      </c>
      <c r="E304" s="87" t="s">
        <v>68</v>
      </c>
      <c r="F304" s="89"/>
      <c r="G304" s="60">
        <v>1472600</v>
      </c>
    </row>
    <row r="305" spans="1:9">
      <c r="A305" s="134">
        <v>46122</v>
      </c>
      <c r="B305" s="86">
        <v>46121</v>
      </c>
      <c r="C305" s="87" t="s">
        <v>211</v>
      </c>
      <c r="D305" s="88">
        <f>IFERROR(VLOOKUP(E305,Accounts!$B$2:$C$66,2,FALSE),0)</f>
        <v>3030</v>
      </c>
      <c r="E305" s="87" t="s">
        <v>13</v>
      </c>
      <c r="F305" s="89">
        <v>94400</v>
      </c>
      <c r="G305" s="123"/>
    </row>
    <row r="306" spans="1:9">
      <c r="A306" s="134">
        <v>46122</v>
      </c>
      <c r="B306" s="86">
        <v>46121</v>
      </c>
      <c r="C306" s="87" t="s">
        <v>211</v>
      </c>
      <c r="D306" s="88">
        <f>IFERROR(VLOOKUP(E306,Accounts!$B$2:$C$66,2,FALSE),0)</f>
        <v>3110</v>
      </c>
      <c r="E306" s="87" t="s">
        <v>68</v>
      </c>
      <c r="F306" s="89">
        <v>2000000</v>
      </c>
      <c r="G306" s="68"/>
    </row>
    <row r="307" spans="1:9">
      <c r="A307" s="134">
        <v>46123</v>
      </c>
      <c r="B307" s="86">
        <v>46121</v>
      </c>
      <c r="C307" s="87" t="s">
        <v>211</v>
      </c>
      <c r="D307" s="88">
        <f>IFERROR(VLOOKUP(E307,Accounts!$B$2:$C$66,2,FALSE),0)</f>
        <v>3020</v>
      </c>
      <c r="E307" s="87" t="s">
        <v>12</v>
      </c>
      <c r="F307" s="89"/>
      <c r="G307" s="68">
        <v>2000000</v>
      </c>
    </row>
    <row r="308" spans="1:9">
      <c r="A308" s="134">
        <v>46124</v>
      </c>
      <c r="B308" s="86">
        <v>46121</v>
      </c>
      <c r="C308" s="87" t="s">
        <v>211</v>
      </c>
      <c r="D308" s="88">
        <f>IFERROR(VLOOKUP(E308,Accounts!$B$2:$C$66,2,FALSE),0)</f>
        <v>7020</v>
      </c>
      <c r="E308" s="87" t="s">
        <v>51</v>
      </c>
      <c r="F308" s="89"/>
      <c r="G308" s="68">
        <v>80000</v>
      </c>
      <c r="I308" s="26"/>
    </row>
    <row r="309" spans="1:9">
      <c r="A309" s="134">
        <v>46125</v>
      </c>
      <c r="B309" s="86">
        <v>46121</v>
      </c>
      <c r="C309" s="87" t="s">
        <v>211</v>
      </c>
      <c r="D309" s="88">
        <f>IFERROR(VLOOKUP(E309,Accounts!$B$2:$C$66,2,FALSE),0)</f>
        <v>2530</v>
      </c>
      <c r="E309" s="87" t="s">
        <v>104</v>
      </c>
      <c r="F309" s="89"/>
      <c r="G309" s="68">
        <v>14400</v>
      </c>
    </row>
    <row r="310" spans="1:9">
      <c r="A310" s="134">
        <v>46126</v>
      </c>
      <c r="B310" s="86">
        <v>46122</v>
      </c>
      <c r="C310" s="87" t="s">
        <v>114</v>
      </c>
      <c r="D310" s="88">
        <f>IFERROR(VLOOKUP(E310,Accounts!$B$2:$C$66,2,FALSE),0)</f>
        <v>6280</v>
      </c>
      <c r="E310" s="87" t="s">
        <v>67</v>
      </c>
      <c r="F310" s="89">
        <v>90</v>
      </c>
      <c r="G310" s="68"/>
    </row>
    <row r="311" spans="1:9">
      <c r="A311" s="134">
        <v>46127</v>
      </c>
      <c r="B311" s="86">
        <v>46122</v>
      </c>
      <c r="C311" s="87" t="s">
        <v>114</v>
      </c>
      <c r="D311" s="88">
        <f>IFERROR(VLOOKUP(E311,Accounts!$B$2:$C$66,2,FALSE),0)</f>
        <v>3020</v>
      </c>
      <c r="E311" s="87" t="s">
        <v>12</v>
      </c>
      <c r="F311" s="89"/>
      <c r="G311" s="68">
        <v>90</v>
      </c>
    </row>
    <row r="312" spans="1:9">
      <c r="A312" s="134">
        <v>46128</v>
      </c>
      <c r="B312" s="86">
        <v>46122</v>
      </c>
      <c r="C312" s="87" t="s">
        <v>112</v>
      </c>
      <c r="D312" s="88">
        <f>IFERROR(VLOOKUP(E312,Accounts!$B$2:$C$66,2,FALSE),0)</f>
        <v>6280</v>
      </c>
      <c r="E312" s="87" t="s">
        <v>67</v>
      </c>
      <c r="F312" s="89">
        <v>500</v>
      </c>
      <c r="G312" s="68"/>
    </row>
    <row r="313" spans="1:9">
      <c r="A313" s="134">
        <v>46129</v>
      </c>
      <c r="B313" s="86">
        <v>46122</v>
      </c>
      <c r="C313" s="87" t="s">
        <v>112</v>
      </c>
      <c r="D313" s="88">
        <f>IFERROR(VLOOKUP(E313,Accounts!$B$2:$C$66,2,FALSE),0)</f>
        <v>3020</v>
      </c>
      <c r="E313" s="87" t="s">
        <v>12</v>
      </c>
      <c r="F313" s="89"/>
      <c r="G313" s="68">
        <v>500</v>
      </c>
    </row>
    <row r="314" spans="1:9">
      <c r="A314" s="134">
        <v>46129</v>
      </c>
      <c r="B314" s="86">
        <v>46122</v>
      </c>
      <c r="C314" s="87" t="s">
        <v>113</v>
      </c>
      <c r="D314" s="88">
        <f>IFERROR(VLOOKUP(E314,Accounts!$B$2:$C$66,2,FALSE),0)</f>
        <v>3010</v>
      </c>
      <c r="E314" s="87" t="s">
        <v>11</v>
      </c>
      <c r="F314" s="89">
        <v>50000</v>
      </c>
      <c r="G314" s="68"/>
    </row>
    <row r="315" spans="1:9">
      <c r="A315" s="134">
        <v>46130</v>
      </c>
      <c r="B315" s="86">
        <v>46122</v>
      </c>
      <c r="C315" s="87" t="s">
        <v>113</v>
      </c>
      <c r="D315" s="88">
        <f>IFERROR(VLOOKUP(E315,Accounts!$B$2:$C$66,2,FALSE),0)</f>
        <v>3020</v>
      </c>
      <c r="E315" s="87" t="s">
        <v>12</v>
      </c>
      <c r="F315" s="89"/>
      <c r="G315" s="68">
        <v>50000</v>
      </c>
    </row>
    <row r="316" spans="1:9" s="31" customFormat="1">
      <c r="A316" s="135">
        <v>46131</v>
      </c>
      <c r="B316" s="104">
        <v>46122</v>
      </c>
      <c r="C316" s="105" t="s">
        <v>114</v>
      </c>
      <c r="D316" s="106">
        <f>IFERROR(VLOOKUP(E316,Accounts!$B$2:$C$66,2,FALSE),0)</f>
        <v>6280</v>
      </c>
      <c r="E316" s="105" t="s">
        <v>67</v>
      </c>
      <c r="F316" s="107">
        <v>1260</v>
      </c>
      <c r="G316" s="80"/>
    </row>
    <row r="317" spans="1:9" s="31" customFormat="1">
      <c r="A317" s="135">
        <v>46132</v>
      </c>
      <c r="B317" s="104">
        <v>46122</v>
      </c>
      <c r="C317" s="105" t="s">
        <v>114</v>
      </c>
      <c r="D317" s="106">
        <f>IFERROR(VLOOKUP(E317,Accounts!$B$2:$C$66,2,FALSE),0)</f>
        <v>3020</v>
      </c>
      <c r="E317" s="105" t="s">
        <v>12</v>
      </c>
      <c r="F317" s="107"/>
      <c r="G317" s="80">
        <v>1260</v>
      </c>
    </row>
    <row r="318" spans="1:9">
      <c r="A318" s="134">
        <v>46133</v>
      </c>
      <c r="B318" s="86">
        <v>46122</v>
      </c>
      <c r="C318" s="87" t="s">
        <v>212</v>
      </c>
      <c r="D318" s="88">
        <f>IFERROR(VLOOKUP(E318,Accounts!$B$2:$C$66,2,FALSE),0)</f>
        <v>6280</v>
      </c>
      <c r="E318" s="87" t="s">
        <v>67</v>
      </c>
      <c r="F318" s="89">
        <v>7000</v>
      </c>
      <c r="G318" s="68"/>
    </row>
    <row r="319" spans="1:9">
      <c r="A319" s="134">
        <v>46134</v>
      </c>
      <c r="B319" s="86">
        <v>46122</v>
      </c>
      <c r="C319" s="87" t="s">
        <v>212</v>
      </c>
      <c r="D319" s="88">
        <f>IFERROR(VLOOKUP(E319,Accounts!$B$2:$C$66,2,FALSE),0)</f>
        <v>3020</v>
      </c>
      <c r="E319" s="87" t="s">
        <v>12</v>
      </c>
      <c r="F319" s="89"/>
      <c r="G319" s="68">
        <v>7000</v>
      </c>
    </row>
    <row r="320" spans="1:9" s="31" customFormat="1">
      <c r="A320" s="135">
        <v>46135</v>
      </c>
      <c r="B320" s="104">
        <v>46122</v>
      </c>
      <c r="C320" s="105" t="s">
        <v>114</v>
      </c>
      <c r="D320" s="106">
        <f>IFERROR(VLOOKUP(E320,Accounts!$B$2:$C$66,2,FALSE),0)</f>
        <v>6280</v>
      </c>
      <c r="E320" s="105" t="s">
        <v>67</v>
      </c>
      <c r="F320" s="107">
        <v>1260</v>
      </c>
      <c r="G320" s="80"/>
    </row>
    <row r="321" spans="1:7" s="31" customFormat="1">
      <c r="A321" s="135">
        <v>46136</v>
      </c>
      <c r="B321" s="104">
        <v>46122</v>
      </c>
      <c r="C321" s="105" t="s">
        <v>114</v>
      </c>
      <c r="D321" s="106">
        <f>IFERROR(VLOOKUP(E321,Accounts!$B$2:$C$66,2,FALSE),0)</f>
        <v>3020</v>
      </c>
      <c r="E321" s="105" t="s">
        <v>12</v>
      </c>
      <c r="F321" s="107"/>
      <c r="G321" s="80">
        <v>1260</v>
      </c>
    </row>
    <row r="322" spans="1:7">
      <c r="A322" s="134">
        <v>46133</v>
      </c>
      <c r="B322" s="86">
        <v>46122</v>
      </c>
      <c r="C322" s="87" t="s">
        <v>212</v>
      </c>
      <c r="D322" s="88">
        <f>IFERROR(VLOOKUP(E322,Accounts!$B$2:$C$66,2,FALSE),0)</f>
        <v>6280</v>
      </c>
      <c r="E322" s="87" t="s">
        <v>67</v>
      </c>
      <c r="F322" s="89">
        <v>7000</v>
      </c>
      <c r="G322" s="68"/>
    </row>
    <row r="323" spans="1:7">
      <c r="A323" s="134">
        <v>46134</v>
      </c>
      <c r="B323" s="86">
        <v>46122</v>
      </c>
      <c r="C323" s="87" t="s">
        <v>212</v>
      </c>
      <c r="D323" s="88">
        <f>IFERROR(VLOOKUP(E323,Accounts!$B$2:$C$66,2,FALSE),0)</f>
        <v>3020</v>
      </c>
      <c r="E323" s="87" t="s">
        <v>12</v>
      </c>
      <c r="F323" s="89"/>
      <c r="G323" s="68">
        <v>7000</v>
      </c>
    </row>
    <row r="324" spans="1:7">
      <c r="A324" s="134">
        <v>46135</v>
      </c>
      <c r="B324" s="86">
        <v>46122</v>
      </c>
      <c r="C324" s="87" t="s">
        <v>115</v>
      </c>
      <c r="D324" s="88">
        <f>IFERROR(VLOOKUP(E324,Accounts!$B$2:$C$66,2,FALSE),0)</f>
        <v>6280</v>
      </c>
      <c r="E324" s="87" t="s">
        <v>67</v>
      </c>
      <c r="F324" s="89">
        <v>500</v>
      </c>
      <c r="G324" s="68"/>
    </row>
    <row r="325" spans="1:7">
      <c r="A325" s="134">
        <v>46136</v>
      </c>
      <c r="B325" s="86">
        <v>46122</v>
      </c>
      <c r="C325" s="87" t="s">
        <v>115</v>
      </c>
      <c r="D325" s="88">
        <f>IFERROR(VLOOKUP(E325,Accounts!$B$2:$C$66,2,FALSE),0)</f>
        <v>3020</v>
      </c>
      <c r="E325" s="87" t="s">
        <v>12</v>
      </c>
      <c r="F325" s="89"/>
      <c r="G325" s="68">
        <v>500</v>
      </c>
    </row>
    <row r="326" spans="1:7">
      <c r="A326" s="134">
        <v>46137</v>
      </c>
      <c r="B326" s="86">
        <v>46122</v>
      </c>
      <c r="C326" s="87" t="s">
        <v>1</v>
      </c>
      <c r="D326" s="88">
        <f>+Accounts!C3</f>
        <v>1010</v>
      </c>
      <c r="E326" s="87" t="s">
        <v>59</v>
      </c>
      <c r="F326" s="89">
        <v>1500000</v>
      </c>
      <c r="G326" s="68"/>
    </row>
    <row r="327" spans="1:7">
      <c r="A327" s="134">
        <v>46138</v>
      </c>
      <c r="B327" s="86">
        <v>46122</v>
      </c>
      <c r="C327" s="87" t="s">
        <v>1</v>
      </c>
      <c r="D327" s="88">
        <f>+Accounts!C3</f>
        <v>1010</v>
      </c>
      <c r="E327" s="87" t="s">
        <v>12</v>
      </c>
      <c r="F327" s="89"/>
      <c r="G327" s="68">
        <v>1500000</v>
      </c>
    </row>
    <row r="328" spans="1:7">
      <c r="A328" s="134">
        <v>46139</v>
      </c>
      <c r="B328" s="86">
        <v>46125</v>
      </c>
      <c r="C328" s="87" t="s">
        <v>213</v>
      </c>
      <c r="D328" s="88">
        <f>IFERROR(VLOOKUP(E328,Accounts!$B$2:$C$66,2,FALSE),0)</f>
        <v>3030</v>
      </c>
      <c r="E328" s="87" t="s">
        <v>13</v>
      </c>
      <c r="F328" s="89">
        <v>42480</v>
      </c>
      <c r="G328" s="68"/>
    </row>
    <row r="329" spans="1:7">
      <c r="A329" s="134">
        <v>46139</v>
      </c>
      <c r="B329" s="86">
        <v>46125</v>
      </c>
      <c r="C329" s="87" t="s">
        <v>213</v>
      </c>
      <c r="D329" s="88">
        <f>IFERROR(VLOOKUP(E329,Accounts!$B$2:$C$66,2,FALSE),0)</f>
        <v>3110</v>
      </c>
      <c r="E329" s="87" t="s">
        <v>68</v>
      </c>
      <c r="F329" s="89">
        <v>900000</v>
      </c>
      <c r="G329" s="68"/>
    </row>
    <row r="330" spans="1:7">
      <c r="A330" s="134">
        <v>46140</v>
      </c>
      <c r="B330" s="86">
        <v>46125</v>
      </c>
      <c r="C330" s="87" t="s">
        <v>213</v>
      </c>
      <c r="D330" s="88">
        <f>IFERROR(VLOOKUP(E330,Accounts!$B$2:$C$66,2,FALSE),0)</f>
        <v>3020</v>
      </c>
      <c r="E330" s="87" t="s">
        <v>12</v>
      </c>
      <c r="F330" s="89"/>
      <c r="G330" s="68">
        <v>900000</v>
      </c>
    </row>
    <row r="331" spans="1:7">
      <c r="A331" s="134">
        <v>46141</v>
      </c>
      <c r="B331" s="86">
        <v>46125</v>
      </c>
      <c r="C331" s="87" t="s">
        <v>213</v>
      </c>
      <c r="D331" s="88">
        <f>IFERROR(VLOOKUP(E331,Accounts!$B$2:$C$66,2,FALSE),0)</f>
        <v>7020</v>
      </c>
      <c r="E331" s="87" t="s">
        <v>51</v>
      </c>
      <c r="F331" s="89"/>
      <c r="G331" s="68">
        <v>36000</v>
      </c>
    </row>
    <row r="332" spans="1:7">
      <c r="A332" s="134">
        <v>46142</v>
      </c>
      <c r="B332" s="86">
        <v>46125</v>
      </c>
      <c r="C332" s="87" t="s">
        <v>213</v>
      </c>
      <c r="D332" s="88">
        <f>IFERROR(VLOOKUP(E332,Accounts!$B$2:$C$66,2,FALSE),0)</f>
        <v>2530</v>
      </c>
      <c r="E332" s="87" t="s">
        <v>104</v>
      </c>
      <c r="F332" s="89"/>
      <c r="G332" s="68">
        <v>6480</v>
      </c>
    </row>
    <row r="333" spans="1:7">
      <c r="A333" s="134">
        <v>46134</v>
      </c>
      <c r="B333" s="86">
        <v>46125</v>
      </c>
      <c r="C333" s="87" t="s">
        <v>115</v>
      </c>
      <c r="D333" s="88">
        <f>IFERROR(VLOOKUP(E333,Accounts!$B$2:$C$66,2,FALSE),0)</f>
        <v>6280</v>
      </c>
      <c r="E333" s="87" t="s">
        <v>67</v>
      </c>
      <c r="F333" s="89">
        <v>500</v>
      </c>
      <c r="G333" s="68"/>
    </row>
    <row r="334" spans="1:7">
      <c r="A334" s="134">
        <v>46134</v>
      </c>
      <c r="B334" s="86">
        <v>46125</v>
      </c>
      <c r="C334" s="87" t="s">
        <v>115</v>
      </c>
      <c r="D334" s="88">
        <f>IFERROR(VLOOKUP(E334,Accounts!$B$2:$C$66,2,FALSE),0)</f>
        <v>3020</v>
      </c>
      <c r="E334" s="87" t="s">
        <v>12</v>
      </c>
      <c r="F334" s="89"/>
      <c r="G334" s="68">
        <v>500</v>
      </c>
    </row>
    <row r="335" spans="1:7">
      <c r="A335" s="134">
        <v>46134</v>
      </c>
      <c r="B335" s="86">
        <v>46125</v>
      </c>
      <c r="C335" s="87" t="s">
        <v>48</v>
      </c>
      <c r="D335" s="88">
        <f>+Accounts!C61</f>
        <v>6300</v>
      </c>
      <c r="E335" s="87" t="s">
        <v>11</v>
      </c>
      <c r="F335" s="89">
        <v>30000</v>
      </c>
      <c r="G335" s="68"/>
    </row>
    <row r="336" spans="1:7">
      <c r="A336" s="134" t="s">
        <v>215</v>
      </c>
      <c r="B336" s="86" t="s">
        <v>214</v>
      </c>
      <c r="C336" s="87" t="s">
        <v>48</v>
      </c>
      <c r="D336" s="88">
        <f>+Accounts!C61</f>
        <v>6300</v>
      </c>
      <c r="E336" s="87" t="s">
        <v>12</v>
      </c>
      <c r="F336" s="124"/>
      <c r="G336" s="60">
        <v>30000</v>
      </c>
    </row>
    <row r="337" spans="1:7">
      <c r="A337" s="134">
        <v>46134</v>
      </c>
      <c r="B337" s="86">
        <v>46127</v>
      </c>
      <c r="C337" s="87" t="s">
        <v>216</v>
      </c>
      <c r="D337" s="88">
        <f>IFERROR(VLOOKUP(E337,Accounts!$B$2:$C$66,2,FALSE),0)</f>
        <v>3020</v>
      </c>
      <c r="E337" s="87" t="s">
        <v>12</v>
      </c>
      <c r="F337" s="89">
        <v>518880</v>
      </c>
      <c r="G337" s="91"/>
    </row>
    <row r="338" spans="1:7">
      <c r="A338" s="134">
        <v>46134</v>
      </c>
      <c r="B338" s="86">
        <v>46127</v>
      </c>
      <c r="C338" s="87" t="s">
        <v>216</v>
      </c>
      <c r="D338" s="88">
        <f>IFERROR(VLOOKUP(E338,Accounts!$B$2:$C$66,2,FALSE),0)</f>
        <v>7010</v>
      </c>
      <c r="E338" s="87" t="s">
        <v>50</v>
      </c>
      <c r="F338" s="90"/>
      <c r="G338" s="60">
        <v>100000</v>
      </c>
    </row>
    <row r="339" spans="1:7">
      <c r="A339" s="134">
        <v>46134</v>
      </c>
      <c r="B339" s="86">
        <v>46127</v>
      </c>
      <c r="C339" s="87" t="s">
        <v>216</v>
      </c>
      <c r="D339" s="88">
        <f>IFERROR(VLOOKUP(E339,Accounts!$B$2:$C$66,2,FALSE),0)</f>
        <v>3110</v>
      </c>
      <c r="E339" s="87" t="s">
        <v>68</v>
      </c>
      <c r="F339" s="90"/>
      <c r="G339" s="125">
        <v>418880</v>
      </c>
    </row>
    <row r="340" spans="1:7">
      <c r="A340" s="134">
        <v>46113</v>
      </c>
      <c r="B340" s="86">
        <v>46127</v>
      </c>
      <c r="C340" s="87" t="s">
        <v>217</v>
      </c>
      <c r="D340" s="88">
        <f>IFERROR(VLOOKUP(E340,Accounts!$B$2:$C$66,2,FALSE),0)</f>
        <v>3030</v>
      </c>
      <c r="E340" s="87" t="s">
        <v>13</v>
      </c>
      <c r="F340" s="124">
        <v>47200</v>
      </c>
      <c r="G340" s="125"/>
    </row>
    <row r="341" spans="1:7">
      <c r="A341" s="134">
        <v>46113</v>
      </c>
      <c r="B341" s="86">
        <v>46127</v>
      </c>
      <c r="C341" s="87" t="s">
        <v>217</v>
      </c>
      <c r="D341" s="88">
        <f>IFERROR(VLOOKUP(E341,Accounts!$B$2:$C$66,2,FALSE),0)</f>
        <v>3110</v>
      </c>
      <c r="E341" s="87" t="s">
        <v>68</v>
      </c>
      <c r="F341" s="89">
        <v>1000000</v>
      </c>
      <c r="G341" s="91"/>
    </row>
    <row r="342" spans="1:7">
      <c r="A342" s="134">
        <v>46114</v>
      </c>
      <c r="B342" s="86">
        <v>46127</v>
      </c>
      <c r="C342" s="87" t="s">
        <v>217</v>
      </c>
      <c r="D342" s="88">
        <f>IFERROR(VLOOKUP(E342,Accounts!$B$2:$C$66,2,FALSE),0)</f>
        <v>3020</v>
      </c>
      <c r="E342" s="87" t="s">
        <v>12</v>
      </c>
      <c r="F342" s="90"/>
      <c r="G342" s="68">
        <v>1000000</v>
      </c>
    </row>
    <row r="343" spans="1:7">
      <c r="A343" s="134">
        <v>46115</v>
      </c>
      <c r="B343" s="86">
        <v>46127</v>
      </c>
      <c r="C343" s="87" t="s">
        <v>217</v>
      </c>
      <c r="D343" s="88">
        <f>IFERROR(VLOOKUP(E343,Accounts!$B$2:$C$66,2,FALSE),0)</f>
        <v>7020</v>
      </c>
      <c r="E343" s="87" t="s">
        <v>51</v>
      </c>
      <c r="F343" s="90"/>
      <c r="G343" s="68">
        <v>40000</v>
      </c>
    </row>
    <row r="344" spans="1:7">
      <c r="A344" s="134">
        <v>46116</v>
      </c>
      <c r="B344" s="86">
        <v>46127</v>
      </c>
      <c r="C344" s="87" t="s">
        <v>217</v>
      </c>
      <c r="D344" s="88">
        <f>IFERROR(VLOOKUP(E344,Accounts!$B$2:$C$66,2,FALSE),0)</f>
        <v>2530</v>
      </c>
      <c r="E344" s="87" t="s">
        <v>104</v>
      </c>
      <c r="F344" s="90"/>
      <c r="G344" s="68">
        <v>7200</v>
      </c>
    </row>
    <row r="345" spans="1:7">
      <c r="A345" s="134">
        <v>46117</v>
      </c>
      <c r="B345" s="86">
        <v>46127</v>
      </c>
      <c r="C345" s="87" t="s">
        <v>114</v>
      </c>
      <c r="D345" s="88">
        <f>IFERROR(VLOOKUP(E345,Accounts!$B$2:$C$66,2,FALSE),0)</f>
        <v>6280</v>
      </c>
      <c r="E345" s="87" t="s">
        <v>67</v>
      </c>
      <c r="F345" s="89">
        <v>500</v>
      </c>
      <c r="G345" s="68"/>
    </row>
    <row r="346" spans="1:7">
      <c r="A346" s="134">
        <v>46118</v>
      </c>
      <c r="B346" s="86">
        <v>46127</v>
      </c>
      <c r="C346" s="87" t="s">
        <v>114</v>
      </c>
      <c r="D346" s="88">
        <f>IFERROR(VLOOKUP(E346,Accounts!$B$2:$C$66,2,FALSE),0)</f>
        <v>3020</v>
      </c>
      <c r="E346" s="87" t="s">
        <v>12</v>
      </c>
      <c r="F346" s="89"/>
      <c r="G346" s="68">
        <v>500</v>
      </c>
    </row>
    <row r="347" spans="1:7">
      <c r="A347" s="134">
        <v>46119</v>
      </c>
      <c r="B347" s="86">
        <v>46127</v>
      </c>
      <c r="C347" s="87" t="s">
        <v>218</v>
      </c>
      <c r="D347" s="88">
        <f>IFERROR(VLOOKUP(E347,Accounts!$B$2:$C$66,2,FALSE),0)</f>
        <v>2530</v>
      </c>
      <c r="E347" s="87" t="s">
        <v>104</v>
      </c>
      <c r="F347" s="89">
        <v>41235</v>
      </c>
      <c r="G347" s="91"/>
    </row>
    <row r="348" spans="1:7">
      <c r="A348" s="134">
        <v>46120</v>
      </c>
      <c r="B348" s="86">
        <v>46127</v>
      </c>
      <c r="C348" s="87" t="s">
        <v>218</v>
      </c>
      <c r="D348" s="88">
        <f>IFERROR(VLOOKUP(E348,Accounts!$B$2:$C$66,2,FALSE),0)</f>
        <v>3020</v>
      </c>
      <c r="E348" s="87" t="s">
        <v>12</v>
      </c>
      <c r="F348" s="90"/>
      <c r="G348" s="68">
        <v>41235</v>
      </c>
    </row>
    <row r="349" spans="1:7">
      <c r="A349" s="134">
        <v>46121</v>
      </c>
      <c r="B349" s="86">
        <v>46132</v>
      </c>
      <c r="C349" s="87" t="s">
        <v>114</v>
      </c>
      <c r="D349" s="88">
        <f>IFERROR(VLOOKUP(E349,Accounts!$B$2:$C$66,2,FALSE),0)</f>
        <v>6280</v>
      </c>
      <c r="E349" s="87" t="s">
        <v>67</v>
      </c>
      <c r="F349" s="89">
        <v>90</v>
      </c>
      <c r="G349" s="68"/>
    </row>
    <row r="350" spans="1:7">
      <c r="A350" s="134">
        <v>46122</v>
      </c>
      <c r="B350" s="86">
        <v>46132</v>
      </c>
      <c r="C350" s="87" t="s">
        <v>114</v>
      </c>
      <c r="D350" s="88">
        <f>IFERROR(VLOOKUP(E350,Accounts!$B$2:$C$66,2,FALSE),0)</f>
        <v>3020</v>
      </c>
      <c r="E350" s="87" t="s">
        <v>12</v>
      </c>
      <c r="F350" s="89"/>
      <c r="G350" s="68">
        <v>90</v>
      </c>
    </row>
    <row r="351" spans="1:7">
      <c r="A351" s="134">
        <v>46123</v>
      </c>
      <c r="B351" s="86">
        <v>46132</v>
      </c>
      <c r="C351" s="87" t="s">
        <v>112</v>
      </c>
      <c r="D351" s="88">
        <f>IFERROR(VLOOKUP(E351,Accounts!$B$2:$C$66,2,FALSE),0)</f>
        <v>6280</v>
      </c>
      <c r="E351" s="87" t="s">
        <v>67</v>
      </c>
      <c r="F351" s="89">
        <v>500</v>
      </c>
      <c r="G351" s="68"/>
    </row>
    <row r="352" spans="1:7">
      <c r="A352" s="134">
        <v>46124</v>
      </c>
      <c r="B352" s="86">
        <v>46132</v>
      </c>
      <c r="C352" s="87" t="s">
        <v>112</v>
      </c>
      <c r="D352" s="88">
        <f>IFERROR(VLOOKUP(E352,Accounts!$B$2:$C$66,2,FALSE),0)</f>
        <v>3020</v>
      </c>
      <c r="E352" s="87" t="s">
        <v>12</v>
      </c>
      <c r="F352" s="89"/>
      <c r="G352" s="68">
        <v>500</v>
      </c>
    </row>
    <row r="353" spans="1:9">
      <c r="A353" s="134">
        <v>46125</v>
      </c>
      <c r="B353" s="86">
        <v>46132</v>
      </c>
      <c r="C353" s="87" t="s">
        <v>219</v>
      </c>
      <c r="D353" s="88">
        <f>IFERROR(VLOOKUP(E353,Accounts!$B$2:$C$66,2,FALSE),0)</f>
        <v>3030</v>
      </c>
      <c r="E353" s="87" t="s">
        <v>13</v>
      </c>
      <c r="F353" s="89">
        <v>16520</v>
      </c>
      <c r="G353" s="68"/>
    </row>
    <row r="354" spans="1:9">
      <c r="A354" s="134">
        <v>46125</v>
      </c>
      <c r="B354" s="86">
        <v>46132</v>
      </c>
      <c r="C354" s="87" t="s">
        <v>219</v>
      </c>
      <c r="D354" s="88">
        <f>IFERROR(VLOOKUP(E354,Accounts!$B$2:$C$66,2,FALSE),0)</f>
        <v>3110</v>
      </c>
      <c r="E354" s="87" t="s">
        <v>68</v>
      </c>
      <c r="F354" s="89">
        <v>350000</v>
      </c>
      <c r="G354" s="91"/>
    </row>
    <row r="355" spans="1:9">
      <c r="A355" s="134">
        <v>46126</v>
      </c>
      <c r="B355" s="86">
        <v>46132</v>
      </c>
      <c r="C355" s="87" t="s">
        <v>219</v>
      </c>
      <c r="D355" s="88">
        <f>IFERROR(VLOOKUP(E355,Accounts!$B$2:$C$66,2,FALSE),0)</f>
        <v>3020</v>
      </c>
      <c r="E355" s="87" t="s">
        <v>12</v>
      </c>
      <c r="F355" s="90"/>
      <c r="G355" s="68">
        <v>350000</v>
      </c>
    </row>
    <row r="356" spans="1:9">
      <c r="A356" s="134">
        <v>46127</v>
      </c>
      <c r="B356" s="86">
        <v>46132</v>
      </c>
      <c r="C356" s="87" t="s">
        <v>219</v>
      </c>
      <c r="D356" s="88">
        <f>IFERROR(VLOOKUP(E356,Accounts!$B$2:$C$66,2,FALSE),0)</f>
        <v>7020</v>
      </c>
      <c r="E356" s="87" t="s">
        <v>51</v>
      </c>
      <c r="F356" s="90"/>
      <c r="G356" s="68">
        <v>14000</v>
      </c>
      <c r="I356" s="26"/>
    </row>
    <row r="357" spans="1:9">
      <c r="A357" s="134">
        <v>46128</v>
      </c>
      <c r="B357" s="86">
        <v>46132</v>
      </c>
      <c r="C357" s="87" t="s">
        <v>219</v>
      </c>
      <c r="D357" s="88">
        <f>IFERROR(VLOOKUP(E357,Accounts!$B$2:$C$66,2,FALSE),0)</f>
        <v>2530</v>
      </c>
      <c r="E357" s="87" t="s">
        <v>104</v>
      </c>
      <c r="F357" s="90"/>
      <c r="G357" s="68">
        <v>2520</v>
      </c>
      <c r="I357" s="26"/>
    </row>
    <row r="358" spans="1:9">
      <c r="A358" s="134">
        <v>46129</v>
      </c>
      <c r="B358" s="86">
        <v>46133</v>
      </c>
      <c r="C358" s="87" t="s">
        <v>220</v>
      </c>
      <c r="D358" s="88">
        <f>IFERROR(VLOOKUP(E358,Accounts!$B$2:$C$66,2,FALSE),0)</f>
        <v>3020</v>
      </c>
      <c r="E358" s="87" t="s">
        <v>12</v>
      </c>
      <c r="F358" s="89">
        <v>45000</v>
      </c>
      <c r="G358" s="91"/>
    </row>
    <row r="359" spans="1:9">
      <c r="A359" s="134">
        <v>46130</v>
      </c>
      <c r="B359" s="86">
        <v>46133</v>
      </c>
      <c r="C359" s="87" t="s">
        <v>220</v>
      </c>
      <c r="D359" s="88">
        <f>IFERROR(VLOOKUP(E359,Accounts!$B$2:$C$66,2,FALSE),0)</f>
        <v>3030</v>
      </c>
      <c r="E359" s="87" t="s">
        <v>13</v>
      </c>
      <c r="F359" s="90"/>
      <c r="G359" s="68">
        <v>23600</v>
      </c>
    </row>
    <row r="360" spans="1:9">
      <c r="A360" s="134">
        <v>46131</v>
      </c>
      <c r="B360" s="86">
        <v>46133</v>
      </c>
      <c r="C360" s="87" t="s">
        <v>220</v>
      </c>
      <c r="D360" s="88">
        <f>IFERROR(VLOOKUP(E360,Accounts!$B$2:$C$66,2,FALSE),0)</f>
        <v>7010</v>
      </c>
      <c r="E360" s="87" t="s">
        <v>50</v>
      </c>
      <c r="F360" s="90"/>
      <c r="G360" s="68">
        <v>21400</v>
      </c>
    </row>
    <row r="361" spans="1:9">
      <c r="A361" s="134">
        <v>46133</v>
      </c>
      <c r="B361" s="86">
        <v>46134</v>
      </c>
      <c r="C361" s="87" t="s">
        <v>221</v>
      </c>
      <c r="D361" s="88">
        <f>IFERROR(VLOOKUP(E361,Accounts!$B$2:$C$66,2,FALSE),0)</f>
        <v>3030</v>
      </c>
      <c r="E361" s="87" t="s">
        <v>13</v>
      </c>
      <c r="F361" s="124">
        <v>23600</v>
      </c>
      <c r="G361" s="68"/>
    </row>
    <row r="362" spans="1:9">
      <c r="A362" s="134">
        <v>46133</v>
      </c>
      <c r="B362" s="86">
        <v>46134</v>
      </c>
      <c r="C362" s="87" t="s">
        <v>221</v>
      </c>
      <c r="D362" s="88">
        <f>IFERROR(VLOOKUP(E362,Accounts!$B$2:$C$66,2,FALSE),0)</f>
        <v>3110</v>
      </c>
      <c r="E362" s="87" t="s">
        <v>68</v>
      </c>
      <c r="F362" s="89">
        <v>500000</v>
      </c>
      <c r="G362" s="91"/>
    </row>
    <row r="363" spans="1:9">
      <c r="A363" s="134">
        <v>46134</v>
      </c>
      <c r="B363" s="86">
        <v>46134</v>
      </c>
      <c r="C363" s="87" t="s">
        <v>221</v>
      </c>
      <c r="D363" s="88">
        <f>IFERROR(VLOOKUP(E363,Accounts!$B$2:$C$66,2,FALSE),0)</f>
        <v>3020</v>
      </c>
      <c r="E363" s="87" t="s">
        <v>12</v>
      </c>
      <c r="F363" s="90"/>
      <c r="G363" s="68">
        <v>500000</v>
      </c>
    </row>
    <row r="364" spans="1:9">
      <c r="A364" s="134">
        <v>46135</v>
      </c>
      <c r="B364" s="86">
        <v>46134</v>
      </c>
      <c r="C364" s="87" t="s">
        <v>221</v>
      </c>
      <c r="D364" s="88">
        <f>IFERROR(VLOOKUP(E364,Accounts!$B$2:$C$66,2,FALSE),0)</f>
        <v>7020</v>
      </c>
      <c r="E364" s="87" t="s">
        <v>51</v>
      </c>
      <c r="F364" s="90"/>
      <c r="G364" s="68">
        <v>20000</v>
      </c>
    </row>
    <row r="365" spans="1:9">
      <c r="A365" s="134">
        <v>46136</v>
      </c>
      <c r="B365" s="86">
        <v>46134</v>
      </c>
      <c r="C365" s="87" t="s">
        <v>221</v>
      </c>
      <c r="D365" s="88">
        <f>IFERROR(VLOOKUP(E365,Accounts!$B$2:$C$66,2,FALSE),0)</f>
        <v>2530</v>
      </c>
      <c r="E365" s="87" t="s">
        <v>104</v>
      </c>
      <c r="F365" s="90"/>
      <c r="G365" s="68">
        <v>3600</v>
      </c>
    </row>
    <row r="366" spans="1:9" s="31" customFormat="1">
      <c r="A366" s="135">
        <v>46137</v>
      </c>
      <c r="B366" s="104">
        <v>46136</v>
      </c>
      <c r="C366" s="105" t="s">
        <v>222</v>
      </c>
      <c r="D366" s="106">
        <f>IFERROR(VLOOKUP(E366,Accounts!$B$2:$C$66,2,FALSE),0)</f>
        <v>3020</v>
      </c>
      <c r="E366" s="105" t="s">
        <v>12</v>
      </c>
      <c r="F366" s="107">
        <v>300000</v>
      </c>
      <c r="G366" s="108"/>
    </row>
    <row r="367" spans="1:9" s="31" customFormat="1">
      <c r="A367" s="135">
        <v>46138</v>
      </c>
      <c r="B367" s="104">
        <v>46136</v>
      </c>
      <c r="C367" s="105" t="s">
        <v>222</v>
      </c>
      <c r="D367" s="106">
        <f>IFERROR(VLOOKUP(E367,Accounts!$B$2:$C$66,2,FALSE),0)</f>
        <v>3110</v>
      </c>
      <c r="E367" s="105" t="s">
        <v>68</v>
      </c>
      <c r="F367" s="109"/>
      <c r="G367" s="80">
        <v>300000</v>
      </c>
    </row>
    <row r="368" spans="1:9">
      <c r="A368" s="134">
        <v>46139</v>
      </c>
      <c r="B368" s="86">
        <v>46136</v>
      </c>
      <c r="C368" s="87" t="s">
        <v>223</v>
      </c>
      <c r="D368" s="88">
        <f>IFERROR(VLOOKUP(E368,Accounts!$B$2:$C$66,2,FALSE),0)</f>
        <v>6280</v>
      </c>
      <c r="E368" s="87" t="s">
        <v>67</v>
      </c>
      <c r="F368" s="89">
        <v>1000</v>
      </c>
      <c r="G368" s="68"/>
    </row>
    <row r="369" spans="1:9">
      <c r="A369" s="134">
        <v>46140</v>
      </c>
      <c r="B369" s="86">
        <v>46136</v>
      </c>
      <c r="C369" s="87" t="s">
        <v>223</v>
      </c>
      <c r="D369" s="88">
        <f>IFERROR(VLOOKUP(E369,Accounts!$B$2:$C$66,2,FALSE),0)</f>
        <v>3020</v>
      </c>
      <c r="E369" s="87" t="s">
        <v>12</v>
      </c>
      <c r="F369" s="89"/>
      <c r="G369" s="68">
        <v>1000</v>
      </c>
    </row>
    <row r="370" spans="1:9">
      <c r="A370" s="134">
        <v>46141</v>
      </c>
      <c r="B370" s="86">
        <v>46136</v>
      </c>
      <c r="C370" s="87" t="s">
        <v>224</v>
      </c>
      <c r="D370" s="88">
        <f>IFERROR(VLOOKUP(E370,Accounts!$B$2:$C$66,2,FALSE),0)</f>
        <v>3030</v>
      </c>
      <c r="E370" s="87" t="s">
        <v>13</v>
      </c>
      <c r="F370" s="89">
        <f>G373+G374</f>
        <v>283200</v>
      </c>
      <c r="G370" s="68"/>
    </row>
    <row r="371" spans="1:9">
      <c r="A371" s="134">
        <v>46141</v>
      </c>
      <c r="B371" s="86">
        <v>46136</v>
      </c>
      <c r="C371" s="87" t="s">
        <v>224</v>
      </c>
      <c r="D371" s="88">
        <f>IFERROR(VLOOKUP(E371,Accounts!$B$2:$C$66,2,FALSE),0)</f>
        <v>3110</v>
      </c>
      <c r="E371" s="87" t="s">
        <v>68</v>
      </c>
      <c r="F371" s="89">
        <v>6000000</v>
      </c>
      <c r="G371" s="91"/>
    </row>
    <row r="372" spans="1:9">
      <c r="A372" s="134">
        <v>46142</v>
      </c>
      <c r="B372" s="86">
        <v>46136</v>
      </c>
      <c r="C372" s="87" t="s">
        <v>224</v>
      </c>
      <c r="D372" s="88">
        <f>IFERROR(VLOOKUP(E372,Accounts!$B$2:$C$66,2,FALSE),0)</f>
        <v>3020</v>
      </c>
      <c r="E372" s="87" t="s">
        <v>12</v>
      </c>
      <c r="F372" s="90"/>
      <c r="G372" s="68">
        <v>6000000</v>
      </c>
    </row>
    <row r="373" spans="1:9">
      <c r="A373" s="134">
        <v>46113</v>
      </c>
      <c r="B373" s="86">
        <v>46136</v>
      </c>
      <c r="C373" s="87" t="s">
        <v>224</v>
      </c>
      <c r="D373" s="88">
        <f>IFERROR(VLOOKUP(E373,Accounts!$B$2:$C$66,2,FALSE),0)</f>
        <v>7020</v>
      </c>
      <c r="E373" s="87" t="s">
        <v>51</v>
      </c>
      <c r="F373" s="90"/>
      <c r="G373" s="68">
        <v>240000</v>
      </c>
      <c r="I373" s="26"/>
    </row>
    <row r="374" spans="1:9">
      <c r="A374" s="134">
        <v>46114</v>
      </c>
      <c r="B374" s="86">
        <v>46136</v>
      </c>
      <c r="C374" s="87" t="s">
        <v>224</v>
      </c>
      <c r="D374" s="88">
        <f>IFERROR(VLOOKUP(E374,Accounts!$B$2:$C$66,2,FALSE),0)</f>
        <v>2530</v>
      </c>
      <c r="E374" s="87" t="s">
        <v>104</v>
      </c>
      <c r="F374" s="90"/>
      <c r="G374" s="68">
        <v>43200</v>
      </c>
    </row>
    <row r="375" spans="1:9">
      <c r="A375" s="134">
        <v>46115</v>
      </c>
      <c r="B375" s="86">
        <v>46139</v>
      </c>
      <c r="C375" s="87" t="s">
        <v>225</v>
      </c>
      <c r="D375" s="88">
        <f>IFERROR(VLOOKUP(E375,Accounts!$B$2:$C$66,2,FALSE),0)</f>
        <v>3020</v>
      </c>
      <c r="E375" s="87" t="s">
        <v>12</v>
      </c>
      <c r="F375" s="89">
        <v>150000</v>
      </c>
      <c r="G375" s="91"/>
    </row>
    <row r="376" spans="1:9">
      <c r="A376" s="134">
        <v>46116</v>
      </c>
      <c r="B376" s="86">
        <v>46139</v>
      </c>
      <c r="C376" s="87" t="s">
        <v>225</v>
      </c>
      <c r="D376" s="88">
        <f>IFERROR(VLOOKUP(E376,Accounts!$B$2:$C$66,2,FALSE),0)</f>
        <v>3030</v>
      </c>
      <c r="E376" s="87" t="s">
        <v>13</v>
      </c>
      <c r="F376" s="89"/>
      <c r="G376" s="68">
        <v>50000</v>
      </c>
    </row>
    <row r="377" spans="1:9">
      <c r="A377" s="134">
        <v>46116</v>
      </c>
      <c r="B377" s="86">
        <v>46139</v>
      </c>
      <c r="C377" s="87" t="s">
        <v>225</v>
      </c>
      <c r="D377" s="88">
        <f>IFERROR(VLOOKUP(E377,Accounts!$B$2:$C$66,2,FALSE),0)</f>
        <v>7010</v>
      </c>
      <c r="E377" s="87" t="s">
        <v>50</v>
      </c>
      <c r="F377" s="89"/>
      <c r="G377" s="68">
        <v>50000</v>
      </c>
    </row>
    <row r="378" spans="1:9">
      <c r="A378" s="134">
        <v>46116</v>
      </c>
      <c r="B378" s="86">
        <v>46139</v>
      </c>
      <c r="C378" s="87" t="s">
        <v>225</v>
      </c>
      <c r="D378" s="88">
        <f>IFERROR(VLOOKUP(E378,Accounts!$B$2:$C$66,2,FALSE),0)</f>
        <v>3110</v>
      </c>
      <c r="E378" s="87" t="s">
        <v>68</v>
      </c>
      <c r="F378" s="90"/>
      <c r="G378" s="68">
        <v>50000</v>
      </c>
    </row>
    <row r="379" spans="1:9">
      <c r="A379" s="134">
        <v>46117</v>
      </c>
      <c r="B379" s="86">
        <v>46139</v>
      </c>
      <c r="C379" s="126" t="s">
        <v>226</v>
      </c>
      <c r="D379" s="127">
        <f>IFERROR(VLOOKUP(E379,Accounts!$B$2:$C$66,2,FALSE),0)</f>
        <v>3020</v>
      </c>
      <c r="E379" s="126" t="s">
        <v>12</v>
      </c>
      <c r="F379" s="89">
        <v>1097200</v>
      </c>
      <c r="G379" s="91"/>
    </row>
    <row r="380" spans="1:9">
      <c r="A380" s="134">
        <v>46118</v>
      </c>
      <c r="B380" s="86">
        <v>46139</v>
      </c>
      <c r="C380" s="126" t="s">
        <v>226</v>
      </c>
      <c r="D380" s="127">
        <f>IFERROR(VLOOKUP(E380,Accounts!$B$2:$C$66,2,FALSE),0)</f>
        <v>3030</v>
      </c>
      <c r="E380" s="126" t="s">
        <v>13</v>
      </c>
      <c r="F380" s="90"/>
      <c r="G380" s="68">
        <v>47200</v>
      </c>
    </row>
    <row r="381" spans="1:9">
      <c r="A381" s="134">
        <v>46119</v>
      </c>
      <c r="B381" s="86">
        <v>46139</v>
      </c>
      <c r="C381" s="126" t="s">
        <v>226</v>
      </c>
      <c r="D381" s="127">
        <f>IFERROR(VLOOKUP(E381,Accounts!$B$2:$C$66,2,FALSE),0)</f>
        <v>7010</v>
      </c>
      <c r="E381" s="126" t="s">
        <v>50</v>
      </c>
      <c r="F381" s="90"/>
      <c r="G381" s="68">
        <v>50000</v>
      </c>
    </row>
    <row r="382" spans="1:9">
      <c r="A382" s="134">
        <v>46120</v>
      </c>
      <c r="B382" s="86">
        <v>46139</v>
      </c>
      <c r="C382" s="126" t="s">
        <v>226</v>
      </c>
      <c r="D382" s="127">
        <f>IFERROR(VLOOKUP(E382,Accounts!$B$2:$C$66,2,FALSE),0)</f>
        <v>3110</v>
      </c>
      <c r="E382" s="126" t="s">
        <v>68</v>
      </c>
      <c r="F382" s="90"/>
      <c r="G382" s="68">
        <v>1000000</v>
      </c>
    </row>
    <row r="383" spans="1:9">
      <c r="A383" s="134">
        <v>46121</v>
      </c>
      <c r="B383" s="86">
        <v>46140</v>
      </c>
      <c r="C383" s="87" t="s">
        <v>227</v>
      </c>
      <c r="D383" s="127">
        <f>IFERROR(VLOOKUP(E383,Accounts!$B$2:$C$66,2,FALSE),0)</f>
        <v>3030</v>
      </c>
      <c r="E383" s="126" t="s">
        <v>13</v>
      </c>
      <c r="F383" s="124">
        <v>47200</v>
      </c>
      <c r="G383" s="68"/>
    </row>
    <row r="384" spans="1:9">
      <c r="A384" s="134">
        <v>46121</v>
      </c>
      <c r="B384" s="86">
        <v>46140</v>
      </c>
      <c r="C384" s="87" t="s">
        <v>227</v>
      </c>
      <c r="D384" s="88">
        <f>IFERROR(VLOOKUP(E384,Accounts!$B$2:$C$66,2,FALSE),0)</f>
        <v>3110</v>
      </c>
      <c r="E384" s="87" t="s">
        <v>68</v>
      </c>
      <c r="F384" s="89">
        <v>1000000</v>
      </c>
      <c r="G384" s="91"/>
    </row>
    <row r="385" spans="1:7">
      <c r="A385" s="134">
        <v>46122</v>
      </c>
      <c r="B385" s="86">
        <v>46140</v>
      </c>
      <c r="C385" s="87" t="s">
        <v>227</v>
      </c>
      <c r="D385" s="88">
        <f>IFERROR(VLOOKUP(E385,Accounts!$B$2:$C$66,2,FALSE),0)</f>
        <v>3020</v>
      </c>
      <c r="E385" s="87" t="s">
        <v>12</v>
      </c>
      <c r="F385" s="90"/>
      <c r="G385" s="68">
        <v>1000000</v>
      </c>
    </row>
    <row r="386" spans="1:7">
      <c r="A386" s="134">
        <v>46123</v>
      </c>
      <c r="B386" s="86">
        <v>46140</v>
      </c>
      <c r="C386" s="87" t="s">
        <v>227</v>
      </c>
      <c r="D386" s="88">
        <f>IFERROR(VLOOKUP(E386,Accounts!$B$2:$C$66,2,FALSE),0)</f>
        <v>7020</v>
      </c>
      <c r="E386" s="87" t="s">
        <v>51</v>
      </c>
      <c r="F386" s="90"/>
      <c r="G386" s="68">
        <v>40000</v>
      </c>
    </row>
    <row r="387" spans="1:7">
      <c r="A387" s="134">
        <v>46124</v>
      </c>
      <c r="B387" s="86">
        <v>46140</v>
      </c>
      <c r="C387" s="87" t="s">
        <v>227</v>
      </c>
      <c r="D387" s="88">
        <f>IFERROR(VLOOKUP(E387,Accounts!$B$2:$C$66,2,FALSE),0)</f>
        <v>2530</v>
      </c>
      <c r="E387" s="87" t="s">
        <v>104</v>
      </c>
      <c r="F387" s="90"/>
      <c r="G387" s="68">
        <v>7200</v>
      </c>
    </row>
    <row r="388" spans="1:7">
      <c r="A388" s="134">
        <v>46125</v>
      </c>
      <c r="B388" s="86">
        <v>46140</v>
      </c>
      <c r="C388" s="87" t="s">
        <v>222</v>
      </c>
      <c r="D388" s="88">
        <f>IFERROR(VLOOKUP(E388,Accounts!$B$2:$C$66,2,FALSE),0)</f>
        <v>3020</v>
      </c>
      <c r="E388" s="87" t="s">
        <v>12</v>
      </c>
      <c r="F388" s="89">
        <v>73600</v>
      </c>
      <c r="G388" s="91"/>
    </row>
    <row r="389" spans="1:7">
      <c r="A389" s="134">
        <v>46126</v>
      </c>
      <c r="B389" s="86">
        <v>46140</v>
      </c>
      <c r="C389" s="87" t="s">
        <v>222</v>
      </c>
      <c r="D389" s="88">
        <f>IFERROR(VLOOKUP(E389,Accounts!$B$2:$C$66,2,FALSE),0)</f>
        <v>7010</v>
      </c>
      <c r="E389" s="87" t="s">
        <v>50</v>
      </c>
      <c r="F389" s="90"/>
      <c r="G389" s="68">
        <v>25000</v>
      </c>
    </row>
    <row r="390" spans="1:7">
      <c r="A390" s="134">
        <v>46126</v>
      </c>
      <c r="B390" s="86">
        <v>46140</v>
      </c>
      <c r="C390" s="87" t="s">
        <v>222</v>
      </c>
      <c r="D390" s="88">
        <f>IFERROR(VLOOKUP(E390,Accounts!$B$2:$C$66,2,FALSE),0)</f>
        <v>3110</v>
      </c>
      <c r="E390" s="87" t="s">
        <v>68</v>
      </c>
      <c r="F390" s="90"/>
      <c r="G390" s="68">
        <v>48600</v>
      </c>
    </row>
    <row r="391" spans="1:7">
      <c r="A391" s="134">
        <v>46127</v>
      </c>
      <c r="B391" s="86">
        <v>46140</v>
      </c>
      <c r="C391" s="87" t="s">
        <v>115</v>
      </c>
      <c r="D391" s="88">
        <f>IFERROR(VLOOKUP(E391,Accounts!$B$2:$C$66,2,FALSE),0)</f>
        <v>6280</v>
      </c>
      <c r="E391" s="87" t="s">
        <v>67</v>
      </c>
      <c r="F391" s="89">
        <v>500</v>
      </c>
      <c r="G391" s="68"/>
    </row>
    <row r="392" spans="1:7">
      <c r="A392" s="134">
        <v>46128</v>
      </c>
      <c r="B392" s="86">
        <v>46140</v>
      </c>
      <c r="C392" s="87" t="s">
        <v>115</v>
      </c>
      <c r="D392" s="88">
        <f>IFERROR(VLOOKUP(E392,Accounts!$B$2:$C$66,2,FALSE),0)</f>
        <v>3020</v>
      </c>
      <c r="E392" s="87" t="s">
        <v>12</v>
      </c>
      <c r="F392" s="89"/>
      <c r="G392" s="68">
        <v>500</v>
      </c>
    </row>
    <row r="393" spans="1:7">
      <c r="A393" s="134"/>
      <c r="B393" s="86">
        <v>46140</v>
      </c>
      <c r="C393" s="87" t="s">
        <v>269</v>
      </c>
      <c r="D393" s="88">
        <f>IFERROR(VLOOKUP(E393,[1]Accounts!$B$2:$C$64,2,FALSE),0)</f>
        <v>6110</v>
      </c>
      <c r="E393" s="87" t="s">
        <v>38</v>
      </c>
      <c r="F393" s="89">
        <v>541501</v>
      </c>
      <c r="G393" s="68"/>
    </row>
    <row r="394" spans="1:7">
      <c r="A394" s="134"/>
      <c r="B394" s="86">
        <v>46140</v>
      </c>
      <c r="C394" s="87" t="s">
        <v>269</v>
      </c>
      <c r="D394" s="88">
        <f>IFERROR(VLOOKUP(E394,[1]Accounts!$B$2:$C$64,2,FALSE),0)</f>
        <v>2540</v>
      </c>
      <c r="E394" s="87" t="s">
        <v>71</v>
      </c>
      <c r="F394" s="89"/>
      <c r="G394" s="68">
        <v>114000</v>
      </c>
    </row>
    <row r="395" spans="1:7">
      <c r="A395" s="134"/>
      <c r="B395" s="86">
        <v>46140</v>
      </c>
      <c r="C395" s="87" t="s">
        <v>269</v>
      </c>
      <c r="D395" s="88">
        <f>IFERROR(VLOOKUP(E395,[1]Accounts!$B$2:$C$64,2,FALSE),0)</f>
        <v>2550</v>
      </c>
      <c r="E395" s="87" t="s">
        <v>97</v>
      </c>
      <c r="F395" s="89"/>
      <c r="G395" s="68">
        <v>3000</v>
      </c>
    </row>
    <row r="396" spans="1:7">
      <c r="A396" s="134"/>
      <c r="B396" s="86">
        <v>46140</v>
      </c>
      <c r="C396" s="87" t="s">
        <v>269</v>
      </c>
      <c r="D396" s="88">
        <f>IFERROR(VLOOKUP(E396,[1]Accounts!$B$2:$C$64,2,FALSE),0)</f>
        <v>2560</v>
      </c>
      <c r="E396" s="87" t="s">
        <v>98</v>
      </c>
      <c r="F396" s="89"/>
      <c r="G396" s="68">
        <v>70000</v>
      </c>
    </row>
    <row r="397" spans="1:7">
      <c r="A397" s="134"/>
      <c r="B397" s="86">
        <v>46140</v>
      </c>
      <c r="C397" s="87" t="s">
        <v>269</v>
      </c>
      <c r="D397" s="88">
        <f>IFERROR(VLOOKUP(E397,[1]Accounts!$B$2:$C$64,2,FALSE),0)</f>
        <v>2570</v>
      </c>
      <c r="E397" s="87" t="s">
        <v>99</v>
      </c>
      <c r="F397" s="89"/>
      <c r="G397" s="68">
        <v>1773</v>
      </c>
    </row>
    <row r="398" spans="1:7">
      <c r="A398" s="134"/>
      <c r="B398" s="86">
        <v>46140</v>
      </c>
      <c r="C398" s="87" t="s">
        <v>269</v>
      </c>
      <c r="D398" s="88">
        <f>IFERROR(VLOOKUP(E398,[1]Accounts!$B$2:$C$64,2,FALSE),0)</f>
        <v>2580</v>
      </c>
      <c r="E398" s="87" t="s">
        <v>100</v>
      </c>
      <c r="F398" s="89"/>
      <c r="G398" s="68">
        <v>352728</v>
      </c>
    </row>
    <row r="399" spans="1:7">
      <c r="A399" s="134">
        <v>46129</v>
      </c>
      <c r="B399" s="86">
        <v>46140</v>
      </c>
      <c r="C399" s="87" t="s">
        <v>228</v>
      </c>
      <c r="D399" s="88">
        <f>IFERROR(VLOOKUP(E399,Accounts!$B$2:$C$66,2,FALSE),0)</f>
        <v>2580</v>
      </c>
      <c r="E399" s="87" t="s">
        <v>100</v>
      </c>
      <c r="F399" s="89">
        <v>352728</v>
      </c>
      <c r="G399" s="68"/>
    </row>
    <row r="400" spans="1:7">
      <c r="A400" s="134">
        <v>46130</v>
      </c>
      <c r="B400" s="86">
        <v>46140</v>
      </c>
      <c r="C400" s="87" t="s">
        <v>229</v>
      </c>
      <c r="D400" s="88">
        <f>IFERROR(VLOOKUP(E400,Accounts!$B$2:$C$66,2,FALSE),0)</f>
        <v>3020</v>
      </c>
      <c r="E400" s="87" t="s">
        <v>12</v>
      </c>
      <c r="F400" s="89"/>
      <c r="G400" s="68">
        <v>352728</v>
      </c>
    </row>
    <row r="401" spans="1:7">
      <c r="A401" s="134">
        <v>46131</v>
      </c>
      <c r="B401" s="86">
        <v>46142</v>
      </c>
      <c r="C401" s="87" t="s">
        <v>111</v>
      </c>
      <c r="D401" s="88">
        <f>IFERROR(VLOOKUP(E401,Accounts!$B$2:$C$66,2,FALSE),0)</f>
        <v>6280</v>
      </c>
      <c r="E401" s="87" t="s">
        <v>67</v>
      </c>
      <c r="F401" s="89">
        <v>2000</v>
      </c>
      <c r="G401" s="68"/>
    </row>
    <row r="402" spans="1:7">
      <c r="A402" s="134">
        <v>46132</v>
      </c>
      <c r="B402" s="86">
        <v>46142</v>
      </c>
      <c r="C402" s="87" t="s">
        <v>111</v>
      </c>
      <c r="D402" s="88">
        <f>IFERROR(VLOOKUP(E402,Accounts!$B$2:$C$66,2,FALSE),0)</f>
        <v>3020</v>
      </c>
      <c r="E402" s="87" t="s">
        <v>12</v>
      </c>
      <c r="F402" s="89"/>
      <c r="G402" s="68">
        <v>2000</v>
      </c>
    </row>
    <row r="403" spans="1:7">
      <c r="A403" s="134">
        <v>46143</v>
      </c>
      <c r="B403" s="86">
        <v>46146</v>
      </c>
      <c r="C403" s="87" t="s">
        <v>168</v>
      </c>
      <c r="D403" s="88">
        <f>IFERROR(VLOOKUP(E403,Accounts!$B$2:$C$66,2,FALSE),0)</f>
        <v>3020</v>
      </c>
      <c r="E403" s="87" t="s">
        <v>12</v>
      </c>
      <c r="F403" s="89">
        <v>175000</v>
      </c>
      <c r="G403" s="91"/>
    </row>
    <row r="404" spans="1:7">
      <c r="A404" s="134">
        <v>46144</v>
      </c>
      <c r="B404" s="86">
        <v>46146</v>
      </c>
      <c r="C404" s="87" t="s">
        <v>168</v>
      </c>
      <c r="D404" s="88">
        <f>IFERROR(VLOOKUP(E404,Accounts!$B$2:$C$66,2,FALSE),0)</f>
        <v>7010</v>
      </c>
      <c r="E404" s="87" t="s">
        <v>50</v>
      </c>
      <c r="F404" s="90"/>
      <c r="G404" s="68">
        <v>175000</v>
      </c>
    </row>
    <row r="405" spans="1:7">
      <c r="A405" s="134">
        <v>46144</v>
      </c>
      <c r="B405" s="86">
        <v>46147</v>
      </c>
      <c r="C405" s="105" t="s">
        <v>162</v>
      </c>
      <c r="D405" s="106">
        <f>IFERROR(VLOOKUP(E405,Accounts!$B$2:$C$66,2,FALSE),0)</f>
        <v>3020</v>
      </c>
      <c r="E405" s="105" t="s">
        <v>12</v>
      </c>
      <c r="F405" s="107">
        <v>548600</v>
      </c>
      <c r="G405" s="108"/>
    </row>
    <row r="406" spans="1:7">
      <c r="A406" s="134">
        <v>46144</v>
      </c>
      <c r="B406" s="86">
        <v>46147</v>
      </c>
      <c r="C406" s="105" t="s">
        <v>162</v>
      </c>
      <c r="D406" s="106">
        <f>IFERROR(VLOOKUP(E406,Accounts!$B$2:$C$66,2,FALSE),0)</f>
        <v>3030</v>
      </c>
      <c r="E406" s="105" t="s">
        <v>13</v>
      </c>
      <c r="F406" s="109"/>
      <c r="G406" s="80">
        <v>23600</v>
      </c>
    </row>
    <row r="407" spans="1:7">
      <c r="A407" s="134">
        <v>46144</v>
      </c>
      <c r="B407" s="86">
        <v>46147</v>
      </c>
      <c r="C407" s="105" t="s">
        <v>162</v>
      </c>
      <c r="D407" s="106">
        <f>IFERROR(VLOOKUP(E407,Accounts!$B$2:$C$66,2,FALSE),0)</f>
        <v>7010</v>
      </c>
      <c r="E407" s="105" t="s">
        <v>50</v>
      </c>
      <c r="F407" s="109"/>
      <c r="G407" s="80">
        <v>25000</v>
      </c>
    </row>
    <row r="408" spans="1:7">
      <c r="A408" s="134">
        <v>46144</v>
      </c>
      <c r="B408" s="86">
        <v>46147</v>
      </c>
      <c r="C408" s="105" t="s">
        <v>162</v>
      </c>
      <c r="D408" s="106">
        <f>IFERROR(VLOOKUP(E408,Accounts!$B$2:$C$66,2,FALSE),0)</f>
        <v>3110</v>
      </c>
      <c r="E408" s="105" t="s">
        <v>68</v>
      </c>
      <c r="F408" s="109"/>
      <c r="G408" s="80">
        <v>500000</v>
      </c>
    </row>
    <row r="409" spans="1:7">
      <c r="A409" s="134">
        <v>46144</v>
      </c>
      <c r="B409" s="86">
        <v>46148</v>
      </c>
      <c r="C409" s="87" t="s">
        <v>223</v>
      </c>
      <c r="D409" s="88">
        <f>IFERROR(VLOOKUP(E409,Accounts!$B$2:$C$66,2,FALSE),0)</f>
        <v>6280</v>
      </c>
      <c r="E409" s="87" t="s">
        <v>67</v>
      </c>
      <c r="F409" s="89">
        <v>1000</v>
      </c>
      <c r="G409" s="68"/>
    </row>
    <row r="410" spans="1:7">
      <c r="A410" s="134">
        <v>46144</v>
      </c>
      <c r="B410" s="86">
        <v>46148</v>
      </c>
      <c r="C410" s="87" t="s">
        <v>223</v>
      </c>
      <c r="D410" s="88">
        <f>IFERROR(VLOOKUP(E410,Accounts!$B$2:$C$66,2,FALSE),0)</f>
        <v>3020</v>
      </c>
      <c r="E410" s="87" t="s">
        <v>12</v>
      </c>
      <c r="F410" s="89"/>
      <c r="G410" s="68">
        <v>1000</v>
      </c>
    </row>
    <row r="411" spans="1:7">
      <c r="A411" s="134">
        <v>46144</v>
      </c>
      <c r="B411" s="86">
        <v>46148</v>
      </c>
      <c r="C411" s="87" t="s">
        <v>230</v>
      </c>
      <c r="D411" s="88">
        <f>IFERROR(VLOOKUP(E411,Accounts!$B$2:$C$66,2,FALSE),0)</f>
        <v>3050</v>
      </c>
      <c r="E411" s="87" t="s">
        <v>14</v>
      </c>
      <c r="F411" s="89">
        <v>211864</v>
      </c>
      <c r="G411" s="91"/>
    </row>
    <row r="412" spans="1:7">
      <c r="A412" s="134">
        <v>46144</v>
      </c>
      <c r="B412" s="86">
        <v>46148</v>
      </c>
      <c r="C412" s="87" t="s">
        <v>231</v>
      </c>
      <c r="D412" s="88">
        <f>IFERROR(VLOOKUP(E412,Accounts!$B$2:$C$66,2,FALSE),0)</f>
        <v>6210</v>
      </c>
      <c r="E412" s="87" t="s">
        <v>102</v>
      </c>
      <c r="F412" s="89">
        <v>211865</v>
      </c>
      <c r="G412" s="91"/>
    </row>
    <row r="413" spans="1:7">
      <c r="A413" s="134">
        <v>46144</v>
      </c>
      <c r="B413" s="86">
        <v>46148</v>
      </c>
      <c r="C413" s="87" t="s">
        <v>232</v>
      </c>
      <c r="D413" s="88">
        <f>IFERROR(VLOOKUP(E413,Accounts!$B$2:$C$66,2,FALSE),0)</f>
        <v>2530</v>
      </c>
      <c r="E413" s="87" t="s">
        <v>104</v>
      </c>
      <c r="F413" s="89">
        <v>76271</v>
      </c>
      <c r="G413" s="91"/>
    </row>
    <row r="414" spans="1:7">
      <c r="A414" s="134">
        <v>46144</v>
      </c>
      <c r="B414" s="86">
        <v>46148</v>
      </c>
      <c r="C414" s="87" t="s">
        <v>232</v>
      </c>
      <c r="D414" s="88">
        <f>IFERROR(VLOOKUP(E414,Accounts!$B$2:$C$66,2,FALSE),0)</f>
        <v>3020</v>
      </c>
      <c r="E414" s="87" t="s">
        <v>12</v>
      </c>
      <c r="F414" s="90"/>
      <c r="G414" s="68">
        <v>500000</v>
      </c>
    </row>
    <row r="415" spans="1:7">
      <c r="A415" s="134">
        <v>46145</v>
      </c>
      <c r="B415" s="86">
        <v>46148</v>
      </c>
      <c r="C415" s="87" t="s">
        <v>233</v>
      </c>
      <c r="D415" s="88">
        <f>IFERROR(VLOOKUP(E415,Accounts!$B$2:$C$66,2,FALSE),0)</f>
        <v>3030</v>
      </c>
      <c r="E415" s="87" t="s">
        <v>13</v>
      </c>
      <c r="F415" s="124">
        <v>47200</v>
      </c>
      <c r="G415" s="68"/>
    </row>
    <row r="416" spans="1:7">
      <c r="A416" s="134">
        <v>46145</v>
      </c>
      <c r="B416" s="86">
        <v>46148</v>
      </c>
      <c r="C416" s="87" t="s">
        <v>233</v>
      </c>
      <c r="D416" s="88">
        <f>IFERROR(VLOOKUP(E416,Accounts!$B$2:$C$66,2,FALSE),0)</f>
        <v>3110</v>
      </c>
      <c r="E416" s="87" t="s">
        <v>68</v>
      </c>
      <c r="F416" s="89">
        <v>1000000</v>
      </c>
      <c r="G416" s="91"/>
    </row>
    <row r="417" spans="1:7">
      <c r="A417" s="134">
        <v>46146</v>
      </c>
      <c r="B417" s="86">
        <v>46148</v>
      </c>
      <c r="C417" s="87" t="s">
        <v>233</v>
      </c>
      <c r="D417" s="88">
        <f>IFERROR(VLOOKUP(E417,Accounts!$B$2:$C$66,2,FALSE),0)</f>
        <v>3020</v>
      </c>
      <c r="E417" s="87" t="s">
        <v>12</v>
      </c>
      <c r="F417" s="90"/>
      <c r="G417" s="68">
        <v>1000000</v>
      </c>
    </row>
    <row r="418" spans="1:7">
      <c r="A418" s="134">
        <v>46147</v>
      </c>
      <c r="B418" s="86">
        <v>46148</v>
      </c>
      <c r="C418" s="87" t="s">
        <v>233</v>
      </c>
      <c r="D418" s="88">
        <f>IFERROR(VLOOKUP(E418,Accounts!$B$2:$C$66,2,FALSE),0)</f>
        <v>7020</v>
      </c>
      <c r="E418" s="87" t="s">
        <v>51</v>
      </c>
      <c r="F418" s="90"/>
      <c r="G418" s="68">
        <v>40000</v>
      </c>
    </row>
    <row r="419" spans="1:7">
      <c r="A419" s="134">
        <v>46148</v>
      </c>
      <c r="B419" s="86">
        <v>46148</v>
      </c>
      <c r="C419" s="87" t="s">
        <v>233</v>
      </c>
      <c r="D419" s="88">
        <f>IFERROR(VLOOKUP(E419,Accounts!$B$2:$C$66,2,FALSE),0)</f>
        <v>2530</v>
      </c>
      <c r="E419" s="87" t="s">
        <v>104</v>
      </c>
      <c r="F419" s="90"/>
      <c r="G419" s="68">
        <v>7200</v>
      </c>
    </row>
    <row r="420" spans="1:7">
      <c r="A420" s="134">
        <v>46149</v>
      </c>
      <c r="B420" s="86">
        <v>46148</v>
      </c>
      <c r="C420" s="87" t="s">
        <v>234</v>
      </c>
      <c r="D420" s="88">
        <f>IFERROR(VLOOKUP(E420,Accounts!$B$2:$C$66,2,FALSE),0)</f>
        <v>2550</v>
      </c>
      <c r="E420" s="87" t="s">
        <v>97</v>
      </c>
      <c r="F420" s="89">
        <v>3000</v>
      </c>
      <c r="G420" s="68"/>
    </row>
    <row r="421" spans="1:7">
      <c r="A421" s="134">
        <v>46150</v>
      </c>
      <c r="B421" s="86">
        <v>46148</v>
      </c>
      <c r="C421" s="87" t="s">
        <v>234</v>
      </c>
      <c r="D421" s="88">
        <f>IFERROR(VLOOKUP(E421,Accounts!$B$2:$C$66,2,FALSE),0)</f>
        <v>3020</v>
      </c>
      <c r="E421" s="87" t="s">
        <v>12</v>
      </c>
      <c r="F421" s="89"/>
      <c r="G421" s="68">
        <v>3000</v>
      </c>
    </row>
    <row r="422" spans="1:7">
      <c r="A422" s="134">
        <v>46151</v>
      </c>
      <c r="B422" s="86">
        <v>46148</v>
      </c>
      <c r="C422" s="87" t="s">
        <v>235</v>
      </c>
      <c r="D422" s="88">
        <f>IFERROR(VLOOKUP(E422,Accounts!$B$2:$C$66,2,FALSE),0)</f>
        <v>2560</v>
      </c>
      <c r="E422" s="87" t="s">
        <v>98</v>
      </c>
      <c r="F422" s="89">
        <v>70000</v>
      </c>
      <c r="G422" s="68"/>
    </row>
    <row r="423" spans="1:7">
      <c r="A423" s="134">
        <v>46152</v>
      </c>
      <c r="B423" s="86">
        <v>46148</v>
      </c>
      <c r="C423" s="87" t="s">
        <v>235</v>
      </c>
      <c r="D423" s="88">
        <f>IFERROR(VLOOKUP(E423,Accounts!$B$2:$C$66,2,FALSE),0)</f>
        <v>3020</v>
      </c>
      <c r="E423" s="87" t="s">
        <v>12</v>
      </c>
      <c r="F423" s="89"/>
      <c r="G423" s="68">
        <v>70000</v>
      </c>
    </row>
    <row r="424" spans="1:7">
      <c r="A424" s="134">
        <v>46153</v>
      </c>
      <c r="B424" s="86">
        <v>46148</v>
      </c>
      <c r="C424" s="87" t="s">
        <v>236</v>
      </c>
      <c r="D424" s="88">
        <f>IFERROR(VLOOKUP(E424,Accounts!$B$2:$C$66,2,FALSE),0)</f>
        <v>2570</v>
      </c>
      <c r="E424" s="87" t="s">
        <v>99</v>
      </c>
      <c r="F424" s="89">
        <v>1773</v>
      </c>
      <c r="G424" s="68"/>
    </row>
    <row r="425" spans="1:7">
      <c r="A425" s="134">
        <v>46154</v>
      </c>
      <c r="B425" s="86">
        <v>46148</v>
      </c>
      <c r="C425" s="87" t="s">
        <v>236</v>
      </c>
      <c r="D425" s="88">
        <f>IFERROR(VLOOKUP(E425,Accounts!$B$2:$C$66,2,FALSE),0)</f>
        <v>3020</v>
      </c>
      <c r="E425" s="87" t="s">
        <v>12</v>
      </c>
      <c r="F425" s="89"/>
      <c r="G425" s="68">
        <v>1773</v>
      </c>
    </row>
    <row r="426" spans="1:7">
      <c r="A426" s="134">
        <v>46155</v>
      </c>
      <c r="B426" s="86">
        <v>46148</v>
      </c>
      <c r="C426" s="87" t="s">
        <v>114</v>
      </c>
      <c r="D426" s="88">
        <f>IFERROR(VLOOKUP(E426,Accounts!$B$2:$C$66,2,FALSE),0)</f>
        <v>6280</v>
      </c>
      <c r="E426" s="87" t="s">
        <v>67</v>
      </c>
      <c r="F426" s="89">
        <v>500</v>
      </c>
      <c r="G426" s="68"/>
    </row>
    <row r="427" spans="1:7">
      <c r="A427" s="134">
        <v>46156</v>
      </c>
      <c r="B427" s="86">
        <v>46148</v>
      </c>
      <c r="C427" s="87" t="s">
        <v>114</v>
      </c>
      <c r="D427" s="88">
        <f>IFERROR(VLOOKUP(E427,Accounts!$B$2:$C$66,2,FALSE),0)</f>
        <v>3020</v>
      </c>
      <c r="E427" s="87" t="s">
        <v>12</v>
      </c>
      <c r="F427" s="89"/>
      <c r="G427" s="68">
        <v>500</v>
      </c>
    </row>
    <row r="428" spans="1:7">
      <c r="A428" s="134">
        <v>46157</v>
      </c>
      <c r="B428" s="86">
        <v>46148</v>
      </c>
      <c r="C428" s="87" t="s">
        <v>237</v>
      </c>
      <c r="D428" s="88">
        <f>IFERROR(VLOOKUP(E428,Accounts!$B$2:$C$66,2,FALSE),0)</f>
        <v>2540</v>
      </c>
      <c r="E428" s="87" t="s">
        <v>71</v>
      </c>
      <c r="F428" s="89">
        <v>114000</v>
      </c>
      <c r="G428" s="91"/>
    </row>
    <row r="429" spans="1:7">
      <c r="A429" s="134">
        <v>46158</v>
      </c>
      <c r="B429" s="86">
        <v>46148</v>
      </c>
      <c r="C429" s="87" t="s">
        <v>237</v>
      </c>
      <c r="D429" s="88">
        <f>IFERROR(VLOOKUP(E429,Accounts!$B$2:$C$66,2,FALSE),0)</f>
        <v>3020</v>
      </c>
      <c r="E429" s="87" t="s">
        <v>12</v>
      </c>
      <c r="F429" s="90"/>
      <c r="G429" s="68">
        <v>114000</v>
      </c>
    </row>
    <row r="430" spans="1:7">
      <c r="A430" s="134">
        <v>46159</v>
      </c>
      <c r="B430" s="86">
        <v>46148</v>
      </c>
      <c r="C430" s="87" t="s">
        <v>114</v>
      </c>
      <c r="D430" s="88">
        <f>IFERROR(VLOOKUP(E430,Accounts!$B$2:$C$66,2,FALSE),0)</f>
        <v>6280</v>
      </c>
      <c r="E430" s="87" t="s">
        <v>67</v>
      </c>
      <c r="F430" s="89">
        <v>90</v>
      </c>
      <c r="G430" s="68"/>
    </row>
    <row r="431" spans="1:7">
      <c r="A431" s="134">
        <v>46160</v>
      </c>
      <c r="B431" s="86">
        <v>46148</v>
      </c>
      <c r="C431" s="87" t="s">
        <v>114</v>
      </c>
      <c r="D431" s="88">
        <f>IFERROR(VLOOKUP(E431,Accounts!$B$2:$C$66,2,FALSE),0)</f>
        <v>3020</v>
      </c>
      <c r="E431" s="87" t="s">
        <v>12</v>
      </c>
      <c r="F431" s="89"/>
      <c r="G431" s="68">
        <v>90</v>
      </c>
    </row>
    <row r="432" spans="1:7">
      <c r="A432" s="134">
        <v>46161</v>
      </c>
      <c r="B432" s="86">
        <v>46148</v>
      </c>
      <c r="C432" s="87" t="s">
        <v>112</v>
      </c>
      <c r="D432" s="88">
        <f>IFERROR(VLOOKUP(E432,Accounts!$B$2:$C$66,2,FALSE),0)</f>
        <v>6280</v>
      </c>
      <c r="E432" s="87" t="s">
        <v>67</v>
      </c>
      <c r="F432" s="89">
        <v>500</v>
      </c>
      <c r="G432" s="68"/>
    </row>
    <row r="433" spans="1:9">
      <c r="A433" s="134">
        <v>46162</v>
      </c>
      <c r="B433" s="86">
        <v>46148</v>
      </c>
      <c r="C433" s="87" t="s">
        <v>112</v>
      </c>
      <c r="D433" s="88">
        <f>IFERROR(VLOOKUP(E433,Accounts!$B$2:$C$66,2,FALSE),0)</f>
        <v>3020</v>
      </c>
      <c r="E433" s="87" t="s">
        <v>12</v>
      </c>
      <c r="F433" s="89"/>
      <c r="G433" s="68">
        <v>500</v>
      </c>
    </row>
    <row r="434" spans="1:9">
      <c r="A434" s="134">
        <v>46150</v>
      </c>
      <c r="B434" s="86">
        <v>46148</v>
      </c>
      <c r="C434" s="87" t="s">
        <v>238</v>
      </c>
      <c r="D434" s="88">
        <f>IFERROR(VLOOKUP(E434,Accounts!$B$2:$C$66,2,FALSE),0)</f>
        <v>3010</v>
      </c>
      <c r="E434" s="87" t="s">
        <v>11</v>
      </c>
      <c r="F434" s="89">
        <v>50000</v>
      </c>
      <c r="G434" s="91"/>
    </row>
    <row r="435" spans="1:9">
      <c r="A435" s="134">
        <v>46151</v>
      </c>
      <c r="B435" s="86">
        <v>46148</v>
      </c>
      <c r="C435" s="87" t="s">
        <v>238</v>
      </c>
      <c r="D435" s="88">
        <f>IFERROR(VLOOKUP(E435,Accounts!$B$2:$C$66,2,FALSE),0)</f>
        <v>3020</v>
      </c>
      <c r="E435" s="87" t="s">
        <v>12</v>
      </c>
      <c r="F435" s="90"/>
      <c r="G435" s="68">
        <v>50000</v>
      </c>
    </row>
    <row r="436" spans="1:9">
      <c r="A436" s="134">
        <v>46151</v>
      </c>
      <c r="B436" s="86">
        <v>46150</v>
      </c>
      <c r="C436" s="87" t="s">
        <v>239</v>
      </c>
      <c r="D436" s="88">
        <f>IFERROR(VLOOKUP(E436,Accounts!$B$2:$C$66,2,FALSE),0)</f>
        <v>3030</v>
      </c>
      <c r="E436" s="87" t="s">
        <v>13</v>
      </c>
      <c r="F436" s="124">
        <v>23600</v>
      </c>
      <c r="G436" s="68"/>
    </row>
    <row r="437" spans="1:9">
      <c r="A437" s="134">
        <v>46151</v>
      </c>
      <c r="B437" s="86">
        <v>46150</v>
      </c>
      <c r="C437" s="87" t="s">
        <v>239</v>
      </c>
      <c r="D437" s="88">
        <f>IFERROR(VLOOKUP(E437,Accounts!$B$2:$C$66,2,FALSE),0)</f>
        <v>3110</v>
      </c>
      <c r="E437" s="87" t="s">
        <v>68</v>
      </c>
      <c r="F437" s="89">
        <v>500000</v>
      </c>
      <c r="G437" s="91"/>
    </row>
    <row r="438" spans="1:9">
      <c r="A438" s="134">
        <v>46151</v>
      </c>
      <c r="B438" s="86">
        <v>46150</v>
      </c>
      <c r="C438" s="87" t="s">
        <v>239</v>
      </c>
      <c r="D438" s="88">
        <f>IFERROR(VLOOKUP(E438,Accounts!$B$2:$C$66,2,FALSE),0)</f>
        <v>3020</v>
      </c>
      <c r="E438" s="87" t="s">
        <v>12</v>
      </c>
      <c r="F438" s="90"/>
      <c r="G438" s="68">
        <v>500000</v>
      </c>
    </row>
    <row r="439" spans="1:9">
      <c r="A439" s="134">
        <v>46151</v>
      </c>
      <c r="B439" s="86">
        <v>46150</v>
      </c>
      <c r="C439" s="87" t="s">
        <v>239</v>
      </c>
      <c r="D439" s="88">
        <f>IFERROR(VLOOKUP(E439,Accounts!$B$2:$C$66,2,FALSE),0)</f>
        <v>7020</v>
      </c>
      <c r="E439" s="87" t="s">
        <v>51</v>
      </c>
      <c r="F439" s="90"/>
      <c r="G439" s="68">
        <v>20000</v>
      </c>
    </row>
    <row r="440" spans="1:9">
      <c r="A440" s="134">
        <v>46151</v>
      </c>
      <c r="B440" s="86">
        <v>46150</v>
      </c>
      <c r="C440" s="87" t="s">
        <v>239</v>
      </c>
      <c r="D440" s="88">
        <f>IFERROR(VLOOKUP(E440,Accounts!$B$2:$C$66,2,FALSE),0)</f>
        <v>2530</v>
      </c>
      <c r="E440" s="87" t="s">
        <v>104</v>
      </c>
      <c r="F440" s="90"/>
      <c r="G440" s="68">
        <v>3600</v>
      </c>
    </row>
    <row r="441" spans="1:9">
      <c r="A441" s="134">
        <v>46152</v>
      </c>
      <c r="B441" s="86">
        <v>46157</v>
      </c>
      <c r="C441" s="87" t="s">
        <v>240</v>
      </c>
      <c r="D441" s="88">
        <f>IFERROR(VLOOKUP(E441,Accounts!$B$2:$C$66,2,FALSE),0)</f>
        <v>3020</v>
      </c>
      <c r="E441" s="87" t="s">
        <v>12</v>
      </c>
      <c r="F441" s="89">
        <v>1835520</v>
      </c>
      <c r="G441" s="91"/>
    </row>
    <row r="442" spans="1:9">
      <c r="A442" s="134">
        <v>46153</v>
      </c>
      <c r="B442" s="86">
        <v>46157</v>
      </c>
      <c r="C442" s="87" t="s">
        <v>240</v>
      </c>
      <c r="D442" s="88">
        <f>IFERROR(VLOOKUP(E442,Accounts!$B$2:$C$66,2,FALSE),0)</f>
        <v>3110</v>
      </c>
      <c r="E442" s="87" t="s">
        <v>68</v>
      </c>
      <c r="F442" s="90"/>
      <c r="G442" s="68">
        <v>1600000</v>
      </c>
    </row>
    <row r="443" spans="1:9">
      <c r="A443" s="134">
        <v>46154</v>
      </c>
      <c r="B443" s="86">
        <v>46157</v>
      </c>
      <c r="C443" s="87" t="s">
        <v>240</v>
      </c>
      <c r="D443" s="88">
        <f>IFERROR(VLOOKUP(E443,Accounts!$B$2:$C$66,2,FALSE),0)</f>
        <v>3030</v>
      </c>
      <c r="E443" s="87" t="s">
        <v>13</v>
      </c>
      <c r="F443" s="90"/>
      <c r="G443" s="68">
        <v>75520</v>
      </c>
      <c r="I443" s="26"/>
    </row>
    <row r="444" spans="1:9">
      <c r="A444" s="134">
        <v>46155</v>
      </c>
      <c r="B444" s="86">
        <v>46157</v>
      </c>
      <c r="C444" s="87" t="s">
        <v>240</v>
      </c>
      <c r="D444" s="88">
        <f>IFERROR(VLOOKUP(E444,Accounts!$B$2:$C$66,2,FALSE),0)</f>
        <v>7010</v>
      </c>
      <c r="E444" s="87" t="s">
        <v>50</v>
      </c>
      <c r="F444" s="90"/>
      <c r="G444" s="68">
        <v>160000</v>
      </c>
      <c r="I444" s="26"/>
    </row>
    <row r="445" spans="1:9">
      <c r="A445" s="134">
        <v>46161</v>
      </c>
      <c r="B445" s="86">
        <v>46160</v>
      </c>
      <c r="C445" s="87" t="s">
        <v>115</v>
      </c>
      <c r="D445" s="88">
        <f>IFERROR(VLOOKUP(E445,Accounts!$B$2:$C$66,2,FALSE),0)</f>
        <v>6280</v>
      </c>
      <c r="E445" s="87" t="s">
        <v>67</v>
      </c>
      <c r="F445" s="89">
        <v>500</v>
      </c>
      <c r="G445" s="68"/>
      <c r="I445" s="26"/>
    </row>
    <row r="446" spans="1:9">
      <c r="A446" s="134">
        <v>46162</v>
      </c>
      <c r="B446" s="86">
        <v>46160</v>
      </c>
      <c r="C446" s="87" t="s">
        <v>115</v>
      </c>
      <c r="D446" s="88">
        <f>IFERROR(VLOOKUP(E446,Accounts!$B$2:$C$66,2,FALSE),0)</f>
        <v>3020</v>
      </c>
      <c r="E446" s="87" t="s">
        <v>12</v>
      </c>
      <c r="F446" s="89"/>
      <c r="G446" s="68">
        <v>500</v>
      </c>
    </row>
    <row r="447" spans="1:9">
      <c r="A447" s="134">
        <v>46162</v>
      </c>
      <c r="B447" s="86">
        <v>46160</v>
      </c>
      <c r="C447" s="87" t="s">
        <v>1</v>
      </c>
      <c r="D447" s="88">
        <f>IFERROR(VLOOKUP(E447,Accounts!$B$2:$C$66,2,FALSE),0)</f>
        <v>2030</v>
      </c>
      <c r="E447" s="87" t="s">
        <v>59</v>
      </c>
      <c r="F447" s="89">
        <v>1250000</v>
      </c>
      <c r="G447" s="68"/>
    </row>
    <row r="448" spans="1:9">
      <c r="A448" s="134">
        <v>46162</v>
      </c>
      <c r="B448" s="86">
        <v>46160</v>
      </c>
      <c r="C448" s="87" t="s">
        <v>1</v>
      </c>
      <c r="D448" s="88">
        <f>IFERROR(VLOOKUP(E448,Accounts!$B$2:$C$66,2,FALSE),0)</f>
        <v>3020</v>
      </c>
      <c r="E448" s="87" t="s">
        <v>12</v>
      </c>
      <c r="F448" s="89"/>
      <c r="G448" s="60">
        <v>1250000</v>
      </c>
    </row>
    <row r="449" spans="1:9">
      <c r="A449" s="134">
        <v>46163</v>
      </c>
      <c r="B449" s="86">
        <v>46160</v>
      </c>
      <c r="C449" s="105" t="s">
        <v>241</v>
      </c>
      <c r="D449" s="106">
        <f>IFERROR(VLOOKUP(E449,Accounts!$B$2:$C$66,2,FALSE),0)</f>
        <v>3020</v>
      </c>
      <c r="E449" s="105" t="s">
        <v>12</v>
      </c>
      <c r="F449" s="89">
        <v>987480</v>
      </c>
      <c r="G449" s="91"/>
    </row>
    <row r="450" spans="1:9">
      <c r="A450" s="134">
        <v>46164</v>
      </c>
      <c r="B450" s="86">
        <v>46160</v>
      </c>
      <c r="C450" s="105" t="s">
        <v>242</v>
      </c>
      <c r="D450" s="106">
        <f>IFERROR(VLOOKUP(E450,Accounts!$B$2:$C$66,2,FALSE),0)</f>
        <v>3030</v>
      </c>
      <c r="E450" s="105" t="s">
        <v>13</v>
      </c>
      <c r="F450" s="90"/>
      <c r="G450" s="68">
        <v>42480</v>
      </c>
    </row>
    <row r="451" spans="1:9">
      <c r="A451" s="134">
        <v>46165</v>
      </c>
      <c r="B451" s="86">
        <v>46160</v>
      </c>
      <c r="C451" s="105" t="s">
        <v>243</v>
      </c>
      <c r="D451" s="106">
        <f>IFERROR(VLOOKUP(E451,Accounts!$B$2:$C$66,2,FALSE),0)</f>
        <v>7010</v>
      </c>
      <c r="E451" s="105" t="s">
        <v>50</v>
      </c>
      <c r="F451" s="90"/>
      <c r="G451" s="68">
        <v>45000</v>
      </c>
      <c r="I451" s="26"/>
    </row>
    <row r="452" spans="1:9">
      <c r="A452" s="134">
        <v>46166</v>
      </c>
      <c r="B452" s="86">
        <v>46160</v>
      </c>
      <c r="C452" s="105" t="s">
        <v>244</v>
      </c>
      <c r="D452" s="106">
        <f>IFERROR(VLOOKUP(E452,Accounts!$B$2:$C$66,2,FALSE),0)</f>
        <v>3110</v>
      </c>
      <c r="E452" s="105" t="s">
        <v>68</v>
      </c>
      <c r="F452" s="90"/>
      <c r="G452" s="68">
        <v>900000</v>
      </c>
      <c r="I452" s="26"/>
    </row>
    <row r="453" spans="1:9">
      <c r="A453" s="134">
        <v>46167</v>
      </c>
      <c r="B453" s="86">
        <v>46163</v>
      </c>
      <c r="C453" s="87" t="s">
        <v>216</v>
      </c>
      <c r="D453" s="88">
        <f>IFERROR(VLOOKUP(E453,Accounts!$B$2:$C$66,2,FALSE),0)</f>
        <v>3020</v>
      </c>
      <c r="E453" s="87" t="s">
        <v>12</v>
      </c>
      <c r="F453" s="89">
        <v>518880</v>
      </c>
      <c r="G453" s="91"/>
      <c r="I453" s="26"/>
    </row>
    <row r="454" spans="1:9">
      <c r="A454" s="134">
        <v>46168</v>
      </c>
      <c r="B454" s="86">
        <v>46163</v>
      </c>
      <c r="C454" s="87" t="s">
        <v>216</v>
      </c>
      <c r="D454" s="88">
        <f>IFERROR(VLOOKUP(E454,Accounts!$B$2:$C$66,2,FALSE),0)</f>
        <v>7010</v>
      </c>
      <c r="E454" s="87" t="s">
        <v>50</v>
      </c>
      <c r="F454" s="89"/>
      <c r="G454" s="101">
        <v>100000</v>
      </c>
      <c r="I454" s="26"/>
    </row>
    <row r="455" spans="1:9">
      <c r="A455" s="134">
        <v>46168</v>
      </c>
      <c r="B455" s="86">
        <v>46163</v>
      </c>
      <c r="C455" s="87" t="s">
        <v>216</v>
      </c>
      <c r="D455" s="88">
        <f>IFERROR(VLOOKUP(E455,Accounts!$B$2:$C$66,2,FALSE),0)</f>
        <v>3110</v>
      </c>
      <c r="E455" s="87" t="s">
        <v>68</v>
      </c>
      <c r="F455" s="90"/>
      <c r="G455" s="60">
        <v>418880</v>
      </c>
    </row>
    <row r="456" spans="1:9">
      <c r="A456" s="134">
        <v>46169</v>
      </c>
      <c r="B456" s="86">
        <v>46164</v>
      </c>
      <c r="C456" s="87" t="s">
        <v>159</v>
      </c>
      <c r="D456" s="88">
        <f>IFERROR(VLOOKUP(E456,Accounts!$B$2:$C$66,2,FALSE),0)</f>
        <v>3030</v>
      </c>
      <c r="E456" s="87" t="s">
        <v>13</v>
      </c>
      <c r="F456" s="89">
        <v>23600</v>
      </c>
      <c r="G456" s="91"/>
    </row>
    <row r="457" spans="1:9">
      <c r="A457" s="134">
        <v>46170</v>
      </c>
      <c r="B457" s="86">
        <v>46164</v>
      </c>
      <c r="C457" s="87" t="s">
        <v>159</v>
      </c>
      <c r="D457" s="88">
        <f>IFERROR(VLOOKUP(E457,Accounts!$B$2:$C$66,2,FALSE),0)</f>
        <v>3110</v>
      </c>
      <c r="E457" s="87" t="s">
        <v>68</v>
      </c>
      <c r="F457" s="89">
        <v>500000</v>
      </c>
      <c r="G457" s="91"/>
    </row>
    <row r="458" spans="1:9">
      <c r="A458" s="134">
        <v>46171</v>
      </c>
      <c r="B458" s="86">
        <v>46164</v>
      </c>
      <c r="C458" s="87" t="s">
        <v>159</v>
      </c>
      <c r="D458" s="88">
        <f>IFERROR(VLOOKUP(E458,Accounts!$B$2:$C$66,2,FALSE),0)</f>
        <v>3020</v>
      </c>
      <c r="E458" s="87" t="s">
        <v>12</v>
      </c>
      <c r="F458" s="90"/>
      <c r="G458" s="68">
        <v>500000</v>
      </c>
    </row>
    <row r="459" spans="1:9">
      <c r="A459" s="134">
        <v>46172</v>
      </c>
      <c r="B459" s="86">
        <v>46164</v>
      </c>
      <c r="C459" s="87" t="s">
        <v>159</v>
      </c>
      <c r="D459" s="88">
        <f>IFERROR(VLOOKUP(E459,Accounts!$B$2:$C$66,2,FALSE),0)</f>
        <v>7020</v>
      </c>
      <c r="E459" s="87" t="s">
        <v>51</v>
      </c>
      <c r="F459" s="90"/>
      <c r="G459" s="68">
        <v>20000</v>
      </c>
    </row>
    <row r="460" spans="1:9">
      <c r="A460" s="134">
        <v>46173</v>
      </c>
      <c r="B460" s="86">
        <v>46164</v>
      </c>
      <c r="C460" s="87" t="s">
        <v>159</v>
      </c>
      <c r="D460" s="88">
        <f>IFERROR(VLOOKUP(E460,Accounts!$B$2:$C$66,2,FALSE),0)</f>
        <v>2530</v>
      </c>
      <c r="E460" s="87" t="s">
        <v>104</v>
      </c>
      <c r="F460" s="90"/>
      <c r="G460" s="68">
        <v>3600</v>
      </c>
    </row>
    <row r="461" spans="1:9">
      <c r="A461" s="134">
        <v>46143</v>
      </c>
      <c r="B461" s="86">
        <v>46165</v>
      </c>
      <c r="C461" s="87" t="s">
        <v>245</v>
      </c>
      <c r="D461" s="88">
        <f>IFERROR(VLOOKUP(E461,Accounts!$B$2:$C$66,2,FALSE),0)</f>
        <v>3020</v>
      </c>
      <c r="E461" s="87" t="s">
        <v>12</v>
      </c>
      <c r="F461" s="89">
        <v>50000</v>
      </c>
      <c r="G461" s="91"/>
    </row>
    <row r="462" spans="1:9">
      <c r="A462" s="134">
        <v>46144</v>
      </c>
      <c r="B462" s="86">
        <v>46165</v>
      </c>
      <c r="C462" s="87" t="s">
        <v>245</v>
      </c>
      <c r="D462" s="88">
        <f>IFERROR(VLOOKUP(E462,Accounts!$B$2:$C$66,2,FALSE),0)</f>
        <v>3030</v>
      </c>
      <c r="E462" s="87" t="s">
        <v>13</v>
      </c>
      <c r="F462" s="90"/>
      <c r="G462" s="68">
        <v>47200</v>
      </c>
    </row>
    <row r="463" spans="1:9">
      <c r="A463" s="134">
        <v>46145</v>
      </c>
      <c r="B463" s="86">
        <v>46165</v>
      </c>
      <c r="C463" s="87" t="s">
        <v>245</v>
      </c>
      <c r="D463" s="88">
        <f>IFERROR(VLOOKUP(E463,Accounts!$B$2:$C$66,2,FALSE),0)</f>
        <v>7010</v>
      </c>
      <c r="E463" s="87" t="s">
        <v>50</v>
      </c>
      <c r="F463" s="90"/>
      <c r="G463" s="68">
        <v>2800</v>
      </c>
    </row>
    <row r="464" spans="1:9">
      <c r="A464" s="134">
        <v>46147</v>
      </c>
      <c r="B464" s="86">
        <v>46168</v>
      </c>
      <c r="C464" s="87" t="s">
        <v>246</v>
      </c>
      <c r="D464" s="88">
        <f>IFERROR(VLOOKUP(E464,Accounts!$B$2:$C$66,2,FALSE),0)</f>
        <v>3020</v>
      </c>
      <c r="E464" s="87" t="s">
        <v>12</v>
      </c>
      <c r="F464" s="89">
        <v>78587</v>
      </c>
      <c r="G464" s="91"/>
    </row>
    <row r="465" spans="1:9">
      <c r="A465" s="134">
        <v>46148</v>
      </c>
      <c r="B465" s="86">
        <v>46168</v>
      </c>
      <c r="C465" s="87" t="s">
        <v>246</v>
      </c>
      <c r="D465" s="88">
        <f>IFERROR(VLOOKUP(E465,Accounts!$B$2:$C$66,2,FALSE),0)</f>
        <v>3030</v>
      </c>
      <c r="E465" s="87" t="s">
        <v>13</v>
      </c>
      <c r="F465" s="90"/>
      <c r="G465" s="68">
        <v>16520</v>
      </c>
    </row>
    <row r="466" spans="1:9">
      <c r="A466" s="134">
        <v>46149</v>
      </c>
      <c r="B466" s="86">
        <v>46168</v>
      </c>
      <c r="C466" s="87" t="s">
        <v>246</v>
      </c>
      <c r="D466" s="88">
        <f>IFERROR(VLOOKUP(E466,Accounts!$B$2:$C$66,2,FALSE),0)</f>
        <v>7010</v>
      </c>
      <c r="E466" s="87" t="s">
        <v>50</v>
      </c>
      <c r="F466" s="90"/>
      <c r="G466" s="68">
        <v>17500</v>
      </c>
    </row>
    <row r="467" spans="1:9">
      <c r="A467" s="134">
        <v>46150</v>
      </c>
      <c r="B467" s="86">
        <v>46168</v>
      </c>
      <c r="C467" s="87" t="s">
        <v>246</v>
      </c>
      <c r="D467" s="88">
        <f>IFERROR(VLOOKUP(E467,Accounts!$B$2:$C$66,2,FALSE),0)</f>
        <v>3110</v>
      </c>
      <c r="E467" s="87" t="s">
        <v>68</v>
      </c>
      <c r="F467" s="90"/>
      <c r="G467" s="68">
        <f>F464-G465-G466</f>
        <v>44567</v>
      </c>
    </row>
    <row r="468" spans="1:9">
      <c r="A468" s="134">
        <v>46151</v>
      </c>
      <c r="B468" s="86">
        <v>46169</v>
      </c>
      <c r="C468" s="87" t="s">
        <v>225</v>
      </c>
      <c r="D468" s="88">
        <f>IFERROR(VLOOKUP(E468,Accounts!$B$2:$C$66,2,FALSE),0)</f>
        <v>3020</v>
      </c>
      <c r="E468" s="87" t="s">
        <v>12</v>
      </c>
      <c r="F468" s="89">
        <v>50000</v>
      </c>
      <c r="G468" s="91"/>
    </row>
    <row r="469" spans="1:9">
      <c r="A469" s="134">
        <v>46152</v>
      </c>
      <c r="B469" s="86">
        <v>46169</v>
      </c>
      <c r="C469" s="87" t="s">
        <v>225</v>
      </c>
      <c r="D469" s="88">
        <f>IFERROR(VLOOKUP(E469,Accounts!$B$2:$C$66,2,FALSE),0)</f>
        <v>7010</v>
      </c>
      <c r="E469" s="87" t="s">
        <v>50</v>
      </c>
      <c r="F469" s="90"/>
      <c r="G469" s="68">
        <v>50000</v>
      </c>
    </row>
    <row r="470" spans="1:9">
      <c r="A470" s="134">
        <v>46153</v>
      </c>
      <c r="B470" s="86">
        <v>46170</v>
      </c>
      <c r="C470" s="87" t="s">
        <v>247</v>
      </c>
      <c r="D470" s="88">
        <f>IFERROR(VLOOKUP(E470,Accounts!$B$2:$C$66,2,FALSE),0)</f>
        <v>3020</v>
      </c>
      <c r="E470" s="87" t="s">
        <v>12</v>
      </c>
      <c r="F470" s="89">
        <v>25000</v>
      </c>
      <c r="G470" s="91"/>
    </row>
    <row r="471" spans="1:9">
      <c r="A471" s="134">
        <v>46154</v>
      </c>
      <c r="B471" s="86">
        <v>46170</v>
      </c>
      <c r="C471" s="87" t="s">
        <v>247</v>
      </c>
      <c r="D471" s="88">
        <f>IFERROR(VLOOKUP(E471,Accounts!$B$2:$C$66,2,FALSE),0)</f>
        <v>7010</v>
      </c>
      <c r="E471" s="87" t="s">
        <v>50</v>
      </c>
      <c r="F471" s="90"/>
      <c r="G471" s="68">
        <v>25000</v>
      </c>
      <c r="I471" s="31">
        <v>3600</v>
      </c>
    </row>
    <row r="472" spans="1:9">
      <c r="A472" s="134">
        <v>46155</v>
      </c>
      <c r="B472" s="86">
        <v>46170</v>
      </c>
      <c r="C472" s="87" t="s">
        <v>115</v>
      </c>
      <c r="D472" s="88">
        <f>IFERROR(VLOOKUP(E472,Accounts!$B$2:$C$66,2,FALSE),0)</f>
        <v>6280</v>
      </c>
      <c r="E472" s="87" t="s">
        <v>67</v>
      </c>
      <c r="F472" s="89">
        <v>500</v>
      </c>
      <c r="G472" s="68"/>
    </row>
    <row r="473" spans="1:9">
      <c r="A473" s="134">
        <v>46156</v>
      </c>
      <c r="B473" s="86">
        <v>46170</v>
      </c>
      <c r="C473" s="87" t="s">
        <v>115</v>
      </c>
      <c r="D473" s="88">
        <f>IFERROR(VLOOKUP(E473,Accounts!$B$2:$C$66,2,FALSE),0)</f>
        <v>3020</v>
      </c>
      <c r="E473" s="87" t="s">
        <v>12</v>
      </c>
      <c r="F473" s="89"/>
      <c r="G473" s="68">
        <v>500</v>
      </c>
    </row>
    <row r="474" spans="1:9">
      <c r="A474" s="134">
        <v>46157</v>
      </c>
      <c r="B474" s="86">
        <v>46170</v>
      </c>
      <c r="C474" s="93" t="s">
        <v>248</v>
      </c>
      <c r="D474" s="94">
        <f>IFERROR(VLOOKUP(E474,Accounts!$B$2:$C$66,2,FALSE),0)</f>
        <v>6110</v>
      </c>
      <c r="E474" s="93" t="s">
        <v>38</v>
      </c>
      <c r="F474" s="95">
        <v>541501</v>
      </c>
      <c r="G474" s="96"/>
    </row>
    <row r="475" spans="1:9">
      <c r="A475" s="134">
        <v>46158</v>
      </c>
      <c r="B475" s="86">
        <v>46170</v>
      </c>
      <c r="C475" s="93" t="s">
        <v>248</v>
      </c>
      <c r="D475" s="94">
        <f>IFERROR(VLOOKUP(E475,Accounts!$B$2:$C$66,2,FALSE),0)</f>
        <v>2540</v>
      </c>
      <c r="E475" s="93" t="s">
        <v>71</v>
      </c>
      <c r="F475" s="95"/>
      <c r="G475" s="96">
        <v>114000</v>
      </c>
    </row>
    <row r="476" spans="1:9">
      <c r="A476" s="134">
        <v>46159</v>
      </c>
      <c r="B476" s="86">
        <v>46170</v>
      </c>
      <c r="C476" s="93" t="s">
        <v>248</v>
      </c>
      <c r="D476" s="94">
        <f>IFERROR(VLOOKUP(E476,Accounts!$B$2:$C$66,2,FALSE),0)</f>
        <v>2550</v>
      </c>
      <c r="E476" s="93" t="s">
        <v>97</v>
      </c>
      <c r="F476" s="95"/>
      <c r="G476" s="96">
        <v>3000</v>
      </c>
    </row>
    <row r="477" spans="1:9">
      <c r="A477" s="134">
        <v>46160</v>
      </c>
      <c r="B477" s="86">
        <v>46170</v>
      </c>
      <c r="C477" s="93" t="s">
        <v>248</v>
      </c>
      <c r="D477" s="94">
        <f>IFERROR(VLOOKUP(E477,Accounts!$B$2:$C$66,2,FALSE),0)</f>
        <v>2560</v>
      </c>
      <c r="E477" s="93" t="s">
        <v>98</v>
      </c>
      <c r="F477" s="95"/>
      <c r="G477" s="96">
        <v>70000</v>
      </c>
    </row>
    <row r="478" spans="1:9">
      <c r="A478" s="134">
        <v>46161</v>
      </c>
      <c r="B478" s="86">
        <v>46170</v>
      </c>
      <c r="C478" s="93" t="s">
        <v>248</v>
      </c>
      <c r="D478" s="94">
        <f>IFERROR(VLOOKUP(E478,Accounts!$B$2:$C$66,2,FALSE),0)</f>
        <v>2570</v>
      </c>
      <c r="E478" s="93" t="s">
        <v>99</v>
      </c>
      <c r="F478" s="95"/>
      <c r="G478" s="96">
        <v>1773</v>
      </c>
    </row>
    <row r="479" spans="1:9">
      <c r="A479" s="134">
        <v>46162</v>
      </c>
      <c r="B479" s="86">
        <v>46170</v>
      </c>
      <c r="C479" s="93" t="s">
        <v>248</v>
      </c>
      <c r="D479" s="94">
        <f>IFERROR(VLOOKUP(E479,Accounts!$B$2:$C$66,2,FALSE),0)</f>
        <v>2580</v>
      </c>
      <c r="E479" s="93" t="s">
        <v>100</v>
      </c>
      <c r="F479" s="95"/>
      <c r="G479" s="96">
        <v>352728</v>
      </c>
    </row>
    <row r="480" spans="1:9">
      <c r="A480" s="134">
        <v>46163</v>
      </c>
      <c r="B480" s="86">
        <v>46170</v>
      </c>
      <c r="C480" s="93" t="s">
        <v>270</v>
      </c>
      <c r="D480" s="94">
        <f>IFERROR(VLOOKUP(E480,Accounts!$B$2:$C$66,2,FALSE),0)</f>
        <v>2580</v>
      </c>
      <c r="E480" s="93" t="s">
        <v>100</v>
      </c>
      <c r="F480" s="95">
        <v>352728</v>
      </c>
      <c r="G480" s="96"/>
    </row>
    <row r="481" spans="1:9">
      <c r="A481" s="134">
        <v>46163</v>
      </c>
      <c r="B481" s="86">
        <v>46170</v>
      </c>
      <c r="C481" s="93" t="s">
        <v>270</v>
      </c>
      <c r="D481" s="94">
        <f>IFERROR(VLOOKUP(E481,Accounts!$B$2:$C$66,2,FALSE),0)</f>
        <v>3020</v>
      </c>
      <c r="E481" s="93" t="s">
        <v>12</v>
      </c>
      <c r="F481" s="95"/>
      <c r="G481" s="96">
        <v>352728</v>
      </c>
    </row>
    <row r="482" spans="1:9">
      <c r="A482" s="134">
        <v>46163</v>
      </c>
      <c r="B482" s="86">
        <v>46170</v>
      </c>
      <c r="C482" s="87" t="s">
        <v>250</v>
      </c>
      <c r="D482" s="88">
        <f>IFERROR(VLOOKUP(E482,Accounts!$B$2:$C$66,2,FALSE),0)</f>
        <v>3020</v>
      </c>
      <c r="E482" s="87" t="s">
        <v>12</v>
      </c>
      <c r="F482" s="95">
        <v>580000</v>
      </c>
      <c r="G482" s="96"/>
    </row>
    <row r="483" spans="1:9">
      <c r="A483" s="134">
        <v>46164</v>
      </c>
      <c r="B483" s="86">
        <v>46170</v>
      </c>
      <c r="C483" s="87" t="s">
        <v>251</v>
      </c>
      <c r="D483" s="88">
        <f>IFERROR(VLOOKUP(E483,Accounts!$B$2:$C$66,2,FALSE),0)</f>
        <v>3030</v>
      </c>
      <c r="E483" s="87" t="s">
        <v>13</v>
      </c>
      <c r="F483" s="95"/>
      <c r="G483" s="96">
        <v>283200</v>
      </c>
      <c r="I483" s="69">
        <f>G484-300000</f>
        <v>-3200</v>
      </c>
    </row>
    <row r="484" spans="1:9">
      <c r="A484" s="134">
        <v>46165</v>
      </c>
      <c r="B484" s="86">
        <v>46170</v>
      </c>
      <c r="C484" s="87" t="s">
        <v>252</v>
      </c>
      <c r="D484" s="88">
        <f>IFERROR(VLOOKUP(E484,Accounts!$B$2:$C$66,2,FALSE),0)</f>
        <v>7010</v>
      </c>
      <c r="E484" s="87" t="s">
        <v>50</v>
      </c>
      <c r="F484" s="95"/>
      <c r="G484" s="96">
        <f>F482-G483</f>
        <v>296800</v>
      </c>
    </row>
    <row r="485" spans="1:9">
      <c r="A485" s="134">
        <v>46163</v>
      </c>
      <c r="B485" s="86">
        <v>46171</v>
      </c>
      <c r="C485" s="87" t="s">
        <v>249</v>
      </c>
      <c r="D485" s="88">
        <f>IFERROR(VLOOKUP(E485,Accounts!$B$2:$C$66,2,FALSE),0)</f>
        <v>3020</v>
      </c>
      <c r="E485" s="87" t="s">
        <v>12</v>
      </c>
      <c r="F485" s="89">
        <v>112627</v>
      </c>
      <c r="G485" s="91"/>
    </row>
    <row r="486" spans="1:9">
      <c r="A486" s="134">
        <v>46164</v>
      </c>
      <c r="B486" s="86">
        <v>46171</v>
      </c>
      <c r="C486" s="87" t="s">
        <v>249</v>
      </c>
      <c r="D486" s="88">
        <f>IFERROR(VLOOKUP(E486,Accounts!$B$2:$C$66,2,FALSE),0)</f>
        <v>3030</v>
      </c>
      <c r="E486" s="87" t="s">
        <v>13</v>
      </c>
      <c r="F486" s="90"/>
      <c r="G486" s="68">
        <v>23600</v>
      </c>
    </row>
    <row r="487" spans="1:9">
      <c r="A487" s="134">
        <v>46165</v>
      </c>
      <c r="B487" s="86">
        <v>46171</v>
      </c>
      <c r="C487" s="87" t="s">
        <v>249</v>
      </c>
      <c r="D487" s="88">
        <f>IFERROR(VLOOKUP(E487,Accounts!$B$2:$C$66,2,FALSE),0)</f>
        <v>7010</v>
      </c>
      <c r="E487" s="87" t="s">
        <v>50</v>
      </c>
      <c r="F487" s="90"/>
      <c r="G487" s="68">
        <v>25000</v>
      </c>
    </row>
    <row r="488" spans="1:9">
      <c r="A488" s="134">
        <v>46166</v>
      </c>
      <c r="B488" s="86">
        <v>46171</v>
      </c>
      <c r="C488" s="87" t="s">
        <v>249</v>
      </c>
      <c r="D488" s="88">
        <f>IFERROR(VLOOKUP(E488,Accounts!$B$2:$C$66,2,FALSE),0)</f>
        <v>3110</v>
      </c>
      <c r="E488" s="87" t="s">
        <v>68</v>
      </c>
      <c r="F488" s="90"/>
      <c r="G488" s="68">
        <v>64027</v>
      </c>
    </row>
    <row r="489" spans="1:9">
      <c r="A489" s="134">
        <v>46167</v>
      </c>
      <c r="B489" s="86">
        <v>46173</v>
      </c>
      <c r="C489" s="87" t="s">
        <v>111</v>
      </c>
      <c r="D489" s="88">
        <f>IFERROR(VLOOKUP(E489,Accounts!$B$2:$C$66,2,FALSE),0)</f>
        <v>6280</v>
      </c>
      <c r="E489" s="87" t="s">
        <v>67</v>
      </c>
      <c r="F489" s="89">
        <v>2000</v>
      </c>
      <c r="G489" s="68"/>
    </row>
    <row r="490" spans="1:9">
      <c r="A490" s="134">
        <v>46168</v>
      </c>
      <c r="B490" s="86">
        <v>46173</v>
      </c>
      <c r="C490" s="87" t="s">
        <v>111</v>
      </c>
      <c r="D490" s="88">
        <f>IFERROR(VLOOKUP(E490,Accounts!$B$2:$C$66,2,FALSE),0)</f>
        <v>3020</v>
      </c>
      <c r="E490" s="87" t="s">
        <v>12</v>
      </c>
      <c r="F490" s="89"/>
      <c r="G490" s="68">
        <v>2000</v>
      </c>
    </row>
    <row r="491" spans="1:9">
      <c r="A491" s="134">
        <v>46174</v>
      </c>
      <c r="B491" s="86">
        <v>46175</v>
      </c>
      <c r="C491" s="105" t="s">
        <v>253</v>
      </c>
      <c r="D491" s="106">
        <f>IFERROR(VLOOKUP(E491,Accounts!$B$2:$C$66,2,FALSE),0)</f>
        <v>3020</v>
      </c>
      <c r="E491" s="105" t="s">
        <v>12</v>
      </c>
      <c r="F491" s="107">
        <v>623600</v>
      </c>
      <c r="G491" s="108"/>
    </row>
    <row r="492" spans="1:9">
      <c r="A492" s="134">
        <v>46174</v>
      </c>
      <c r="B492" s="86">
        <v>46175</v>
      </c>
      <c r="C492" s="105" t="s">
        <v>253</v>
      </c>
      <c r="D492" s="106">
        <f>IFERROR(VLOOKUP(E492,Accounts!$B$2:$C$66,2,FALSE),0)</f>
        <v>3030</v>
      </c>
      <c r="E492" s="105" t="s">
        <v>13</v>
      </c>
      <c r="F492" s="109"/>
      <c r="G492" s="80">
        <v>23600</v>
      </c>
    </row>
    <row r="493" spans="1:9">
      <c r="A493" s="134">
        <v>46174</v>
      </c>
      <c r="B493" s="86">
        <v>46175</v>
      </c>
      <c r="C493" s="105" t="s">
        <v>253</v>
      </c>
      <c r="D493" s="106">
        <f>IFERROR(VLOOKUP(E493,Accounts!$B$2:$C$66,2,FALSE),0)</f>
        <v>7010</v>
      </c>
      <c r="E493" s="105" t="s">
        <v>50</v>
      </c>
      <c r="F493" s="109"/>
      <c r="G493" s="80">
        <v>100000</v>
      </c>
    </row>
    <row r="494" spans="1:9">
      <c r="A494" s="134">
        <v>46174</v>
      </c>
      <c r="B494" s="86">
        <v>46175</v>
      </c>
      <c r="C494" s="105" t="s">
        <v>253</v>
      </c>
      <c r="D494" s="106">
        <f>IFERROR(VLOOKUP(E494,Accounts!$B$2:$C$66,2,FALSE),0)</f>
        <v>3110</v>
      </c>
      <c r="E494" s="105" t="s">
        <v>68</v>
      </c>
      <c r="F494" s="109"/>
      <c r="G494" s="80">
        <v>500000</v>
      </c>
    </row>
    <row r="495" spans="1:9">
      <c r="A495" s="134">
        <v>46175</v>
      </c>
      <c r="B495" s="86">
        <v>46178</v>
      </c>
      <c r="C495" s="87" t="s">
        <v>168</v>
      </c>
      <c r="D495" s="88">
        <f>IFERROR(VLOOKUP(E495,Accounts!$B$2:$C$66,2,FALSE),0)</f>
        <v>3020</v>
      </c>
      <c r="E495" s="87" t="s">
        <v>12</v>
      </c>
      <c r="F495" s="89">
        <v>175000</v>
      </c>
      <c r="G495" s="91"/>
    </row>
    <row r="496" spans="1:9">
      <c r="A496" s="134">
        <v>46176</v>
      </c>
      <c r="B496" s="86">
        <v>46178</v>
      </c>
      <c r="C496" s="87" t="s">
        <v>168</v>
      </c>
      <c r="D496" s="88">
        <f>IFERROR(VLOOKUP(E496,Accounts!$B$2:$C$66,2,FALSE),0)</f>
        <v>7010</v>
      </c>
      <c r="E496" s="87" t="s">
        <v>50</v>
      </c>
      <c r="F496" s="90"/>
      <c r="G496" s="68">
        <v>175000</v>
      </c>
    </row>
    <row r="497" spans="1:7">
      <c r="A497" s="134">
        <v>46174</v>
      </c>
      <c r="B497" s="86">
        <v>46178</v>
      </c>
      <c r="C497" s="87" t="s">
        <v>254</v>
      </c>
      <c r="D497" s="88">
        <f>IFERROR(VLOOKUP(E497,Accounts!$B$2:$C$66,2,FALSE),0)</f>
        <v>3030</v>
      </c>
      <c r="E497" s="87" t="s">
        <v>13</v>
      </c>
      <c r="F497" s="89">
        <v>70800</v>
      </c>
      <c r="G497" s="91"/>
    </row>
    <row r="498" spans="1:7">
      <c r="A498" s="134">
        <v>46175</v>
      </c>
      <c r="B498" s="86">
        <v>46178</v>
      </c>
      <c r="C498" s="87" t="s">
        <v>254</v>
      </c>
      <c r="D498" s="88">
        <f>IFERROR(VLOOKUP(E498,Accounts!$B$2:$C$66,2,FALSE),0)</f>
        <v>3110</v>
      </c>
      <c r="E498" s="87" t="s">
        <v>68</v>
      </c>
      <c r="F498" s="89">
        <v>1500000</v>
      </c>
      <c r="G498" s="91"/>
    </row>
    <row r="499" spans="1:7">
      <c r="A499" s="134">
        <v>46176</v>
      </c>
      <c r="B499" s="86">
        <v>46178</v>
      </c>
      <c r="C499" s="87" t="s">
        <v>254</v>
      </c>
      <c r="D499" s="88">
        <f>IFERROR(VLOOKUP(E499,Accounts!$B$2:$C$66,2,FALSE),0)</f>
        <v>3020</v>
      </c>
      <c r="E499" s="87" t="s">
        <v>12</v>
      </c>
      <c r="F499" s="90"/>
      <c r="G499" s="68">
        <v>1500000</v>
      </c>
    </row>
    <row r="500" spans="1:7">
      <c r="A500" s="134">
        <v>46177</v>
      </c>
      <c r="B500" s="86">
        <v>46178</v>
      </c>
      <c r="C500" s="87" t="s">
        <v>254</v>
      </c>
      <c r="D500" s="88">
        <f>IFERROR(VLOOKUP(E500,Accounts!$B$2:$C$66,2,FALSE),0)</f>
        <v>7020</v>
      </c>
      <c r="E500" s="87" t="s">
        <v>51</v>
      </c>
      <c r="F500" s="90"/>
      <c r="G500" s="68">
        <v>60000</v>
      </c>
    </row>
    <row r="501" spans="1:7">
      <c r="A501" s="134">
        <v>46178</v>
      </c>
      <c r="B501" s="86">
        <v>46178</v>
      </c>
      <c r="C501" s="87" t="s">
        <v>254</v>
      </c>
      <c r="D501" s="88">
        <f>IFERROR(VLOOKUP(E501,Accounts!$B$2:$C$66,2,FALSE),0)</f>
        <v>2530</v>
      </c>
      <c r="E501" s="87" t="s">
        <v>104</v>
      </c>
      <c r="F501" s="90"/>
      <c r="G501" s="68">
        <v>10800</v>
      </c>
    </row>
    <row r="502" spans="1:7">
      <c r="A502" s="134">
        <v>46174</v>
      </c>
      <c r="B502" s="86">
        <v>46178</v>
      </c>
      <c r="C502" s="87" t="s">
        <v>255</v>
      </c>
      <c r="D502" s="88">
        <f>IFERROR(VLOOKUP(E502,Accounts!$B$2:$C$66,2,FALSE),0)</f>
        <v>3030</v>
      </c>
      <c r="E502" s="87" t="s">
        <v>13</v>
      </c>
      <c r="F502" s="89">
        <v>47200</v>
      </c>
      <c r="G502" s="91"/>
    </row>
    <row r="503" spans="1:7">
      <c r="A503" s="134">
        <v>46175</v>
      </c>
      <c r="B503" s="86">
        <v>46178</v>
      </c>
      <c r="C503" s="87" t="s">
        <v>255</v>
      </c>
      <c r="D503" s="88">
        <f>IFERROR(VLOOKUP(E503,Accounts!$B$2:$C$66,2,FALSE),0)</f>
        <v>3110</v>
      </c>
      <c r="E503" s="87" t="s">
        <v>68</v>
      </c>
      <c r="F503" s="89">
        <v>1000000</v>
      </c>
      <c r="G503" s="91"/>
    </row>
    <row r="504" spans="1:7">
      <c r="A504" s="134">
        <v>46176</v>
      </c>
      <c r="B504" s="86">
        <v>46178</v>
      </c>
      <c r="C504" s="87" t="s">
        <v>255</v>
      </c>
      <c r="D504" s="88">
        <f>IFERROR(VLOOKUP(E504,Accounts!$B$2:$C$66,2,FALSE),0)</f>
        <v>3020</v>
      </c>
      <c r="E504" s="87" t="s">
        <v>12</v>
      </c>
      <c r="F504" s="90"/>
      <c r="G504" s="68">
        <v>1000000</v>
      </c>
    </row>
    <row r="505" spans="1:7">
      <c r="A505" s="134">
        <v>46177</v>
      </c>
      <c r="B505" s="86">
        <v>46178</v>
      </c>
      <c r="C505" s="87" t="s">
        <v>255</v>
      </c>
      <c r="D505" s="88">
        <f>IFERROR(VLOOKUP(E505,Accounts!$B$2:$C$66,2,FALSE),0)</f>
        <v>7020</v>
      </c>
      <c r="E505" s="87" t="s">
        <v>51</v>
      </c>
      <c r="F505" s="90"/>
      <c r="G505" s="68">
        <v>40000</v>
      </c>
    </row>
    <row r="506" spans="1:7">
      <c r="A506" s="134">
        <v>46178</v>
      </c>
      <c r="B506" s="86">
        <v>46178</v>
      </c>
      <c r="C506" s="87" t="s">
        <v>255</v>
      </c>
      <c r="D506" s="88">
        <f>IFERROR(VLOOKUP(E506,Accounts!$B$2:$C$66,2,FALSE),0)</f>
        <v>2530</v>
      </c>
      <c r="E506" s="87" t="s">
        <v>104</v>
      </c>
      <c r="F506" s="90"/>
      <c r="G506" s="68">
        <v>7200</v>
      </c>
    </row>
    <row r="507" spans="1:7">
      <c r="A507" s="134">
        <v>46179</v>
      </c>
      <c r="B507" s="86">
        <v>46182</v>
      </c>
      <c r="C507" s="87" t="s">
        <v>256</v>
      </c>
      <c r="D507" s="88">
        <f>IFERROR(VLOOKUP(E507,Accounts!$B$2:$C$66,2,FALSE),0)</f>
        <v>2550</v>
      </c>
      <c r="E507" s="87" t="s">
        <v>97</v>
      </c>
      <c r="F507" s="89">
        <v>3000</v>
      </c>
      <c r="G507" s="68"/>
    </row>
    <row r="508" spans="1:7">
      <c r="A508" s="134">
        <v>46180</v>
      </c>
      <c r="B508" s="86">
        <v>46182</v>
      </c>
      <c r="C508" s="87" t="s">
        <v>256</v>
      </c>
      <c r="D508" s="88">
        <f>IFERROR(VLOOKUP(E508,Accounts!$B$2:$C$66,2,FALSE),0)</f>
        <v>3020</v>
      </c>
      <c r="E508" s="87" t="s">
        <v>12</v>
      </c>
      <c r="F508" s="89"/>
      <c r="G508" s="68">
        <v>3000</v>
      </c>
    </row>
    <row r="509" spans="1:7">
      <c r="A509" s="134">
        <v>46181</v>
      </c>
      <c r="B509" s="86">
        <v>46182</v>
      </c>
      <c r="C509" s="87" t="s">
        <v>114</v>
      </c>
      <c r="D509" s="88">
        <f>IFERROR(VLOOKUP(E509,Accounts!$B$2:$C$66,2,FALSE),0)</f>
        <v>6280</v>
      </c>
      <c r="E509" s="87" t="s">
        <v>67</v>
      </c>
      <c r="F509" s="89">
        <v>500</v>
      </c>
      <c r="G509" s="68"/>
    </row>
    <row r="510" spans="1:7">
      <c r="A510" s="134">
        <v>46182</v>
      </c>
      <c r="B510" s="86">
        <v>46182</v>
      </c>
      <c r="C510" s="87" t="s">
        <v>114</v>
      </c>
      <c r="D510" s="88">
        <f>IFERROR(VLOOKUP(E510,Accounts!$B$2:$C$66,2,FALSE),0)</f>
        <v>3020</v>
      </c>
      <c r="E510" s="87" t="s">
        <v>12</v>
      </c>
      <c r="F510" s="89"/>
      <c r="G510" s="68">
        <v>500</v>
      </c>
    </row>
    <row r="511" spans="1:7">
      <c r="A511" s="134">
        <v>46183</v>
      </c>
      <c r="B511" s="86">
        <v>46182</v>
      </c>
      <c r="C511" s="87" t="s">
        <v>257</v>
      </c>
      <c r="D511" s="88">
        <f>IFERROR(VLOOKUP(E511,Accounts!$B$2:$C$66,2,FALSE),0)</f>
        <v>2540</v>
      </c>
      <c r="E511" s="87" t="s">
        <v>71</v>
      </c>
      <c r="F511" s="89">
        <v>114000</v>
      </c>
      <c r="G511" s="91"/>
    </row>
    <row r="512" spans="1:7">
      <c r="A512" s="134">
        <v>46184</v>
      </c>
      <c r="B512" s="86">
        <v>46182</v>
      </c>
      <c r="C512" s="87" t="s">
        <v>257</v>
      </c>
      <c r="D512" s="88">
        <f>IFERROR(VLOOKUP(E512,Accounts!$B$2:$C$66,2,FALSE),0)</f>
        <v>3020</v>
      </c>
      <c r="E512" s="87" t="s">
        <v>12</v>
      </c>
      <c r="F512" s="90"/>
      <c r="G512" s="68">
        <v>114000</v>
      </c>
    </row>
    <row r="513" spans="1:7">
      <c r="A513" s="134">
        <v>46185</v>
      </c>
      <c r="B513" s="86">
        <v>46182</v>
      </c>
      <c r="C513" s="87" t="s">
        <v>258</v>
      </c>
      <c r="D513" s="88">
        <f>IFERROR(VLOOKUP(E513,Accounts!$B$2:$C$66,2,FALSE),0)</f>
        <v>2560</v>
      </c>
      <c r="E513" s="87" t="s">
        <v>98</v>
      </c>
      <c r="F513" s="89">
        <v>70000</v>
      </c>
      <c r="G513" s="68"/>
    </row>
    <row r="514" spans="1:7">
      <c r="A514" s="134">
        <v>46186</v>
      </c>
      <c r="B514" s="86">
        <v>46182</v>
      </c>
      <c r="C514" s="87" t="s">
        <v>258</v>
      </c>
      <c r="D514" s="88">
        <f>IFERROR(VLOOKUP(E514,Accounts!$B$2:$C$66,2,FALSE),0)</f>
        <v>3020</v>
      </c>
      <c r="E514" s="87" t="s">
        <v>12</v>
      </c>
      <c r="F514" s="89"/>
      <c r="G514" s="68">
        <v>70000</v>
      </c>
    </row>
    <row r="515" spans="1:7">
      <c r="A515" s="134">
        <v>46187</v>
      </c>
      <c r="B515" s="86">
        <v>46182</v>
      </c>
      <c r="C515" s="87" t="s">
        <v>259</v>
      </c>
      <c r="D515" s="88">
        <f>IFERROR(VLOOKUP(E515,Accounts!$B$2:$C$66,2,FALSE),0)</f>
        <v>2570</v>
      </c>
      <c r="E515" s="87" t="s">
        <v>99</v>
      </c>
      <c r="F515" s="89">
        <v>1773</v>
      </c>
      <c r="G515" s="68"/>
    </row>
    <row r="516" spans="1:7">
      <c r="A516" s="134">
        <v>46188</v>
      </c>
      <c r="B516" s="86">
        <v>46182</v>
      </c>
      <c r="C516" s="87" t="s">
        <v>259</v>
      </c>
      <c r="D516" s="88">
        <f>IFERROR(VLOOKUP(E516,Accounts!$B$2:$C$66,2,FALSE),0)</f>
        <v>3020</v>
      </c>
      <c r="E516" s="87" t="s">
        <v>12</v>
      </c>
      <c r="F516" s="89"/>
      <c r="G516" s="68">
        <v>1773</v>
      </c>
    </row>
    <row r="517" spans="1:7">
      <c r="A517" s="134">
        <v>46189</v>
      </c>
      <c r="B517" s="86">
        <v>46182</v>
      </c>
      <c r="C517" s="87" t="s">
        <v>114</v>
      </c>
      <c r="D517" s="88">
        <f>IFERROR(VLOOKUP(E517,Accounts!$B$2:$C$66,2,FALSE),0)</f>
        <v>6280</v>
      </c>
      <c r="E517" s="87" t="s">
        <v>67</v>
      </c>
      <c r="F517" s="89">
        <v>90</v>
      </c>
      <c r="G517" s="68"/>
    </row>
    <row r="518" spans="1:7">
      <c r="A518" s="134">
        <v>46190</v>
      </c>
      <c r="B518" s="86">
        <v>46182</v>
      </c>
      <c r="C518" s="87" t="s">
        <v>114</v>
      </c>
      <c r="D518" s="88">
        <f>IFERROR(VLOOKUP(E518,Accounts!$B$2:$C$66,2,FALSE),0)</f>
        <v>3020</v>
      </c>
      <c r="E518" s="87" t="s">
        <v>12</v>
      </c>
      <c r="F518" s="89"/>
      <c r="G518" s="68">
        <v>90</v>
      </c>
    </row>
    <row r="519" spans="1:7">
      <c r="A519" s="134">
        <v>46191</v>
      </c>
      <c r="B519" s="86">
        <v>46182</v>
      </c>
      <c r="C519" s="87" t="s">
        <v>112</v>
      </c>
      <c r="D519" s="88">
        <f>IFERROR(VLOOKUP(E519,Accounts!$B$2:$C$66,2,FALSE),0)</f>
        <v>6280</v>
      </c>
      <c r="E519" s="87" t="s">
        <v>67</v>
      </c>
      <c r="F519" s="89">
        <v>500</v>
      </c>
      <c r="G519" s="68"/>
    </row>
    <row r="520" spans="1:7">
      <c r="A520" s="134">
        <v>46192</v>
      </c>
      <c r="B520" s="86">
        <v>46182</v>
      </c>
      <c r="C520" s="87" t="s">
        <v>112</v>
      </c>
      <c r="D520" s="88">
        <f>IFERROR(VLOOKUP(E520,Accounts!$B$2:$C$66,2,FALSE),0)</f>
        <v>3020</v>
      </c>
      <c r="E520" s="87" t="s">
        <v>12</v>
      </c>
      <c r="F520" s="89"/>
      <c r="G520" s="68">
        <v>500</v>
      </c>
    </row>
    <row r="521" spans="1:7">
      <c r="A521" s="134">
        <v>46193</v>
      </c>
      <c r="B521" s="86">
        <v>46182</v>
      </c>
      <c r="C521" s="87" t="s">
        <v>238</v>
      </c>
      <c r="D521" s="88">
        <f>IFERROR(VLOOKUP(E521,Accounts!$B$2:$C$66,2,FALSE),0)</f>
        <v>3010</v>
      </c>
      <c r="E521" s="87" t="s">
        <v>11</v>
      </c>
      <c r="F521" s="89">
        <v>50000</v>
      </c>
      <c r="G521" s="91"/>
    </row>
    <row r="522" spans="1:7">
      <c r="A522" s="134">
        <v>46194</v>
      </c>
      <c r="B522" s="86">
        <v>46182</v>
      </c>
      <c r="C522" s="87" t="s">
        <v>238</v>
      </c>
      <c r="D522" s="88">
        <f>IFERROR(VLOOKUP(E522,Accounts!$B$2:$C$66,2,FALSE),0)</f>
        <v>3020</v>
      </c>
      <c r="E522" s="87" t="s">
        <v>12</v>
      </c>
      <c r="F522" s="90"/>
      <c r="G522" s="68">
        <v>50000</v>
      </c>
    </row>
    <row r="523" spans="1:7">
      <c r="A523" s="134">
        <v>46195</v>
      </c>
      <c r="B523" s="86">
        <v>46184</v>
      </c>
      <c r="C523" s="87" t="s">
        <v>114</v>
      </c>
      <c r="D523" s="88">
        <f>IFERROR(VLOOKUP(E523,Accounts!$B$2:$C$66,2,FALSE),0)</f>
        <v>6280</v>
      </c>
      <c r="E523" s="87" t="s">
        <v>67</v>
      </c>
      <c r="F523" s="89">
        <v>90</v>
      </c>
      <c r="G523" s="68"/>
    </row>
    <row r="524" spans="1:7">
      <c r="A524" s="134">
        <v>46196</v>
      </c>
      <c r="B524" s="86">
        <v>46184</v>
      </c>
      <c r="C524" s="87" t="s">
        <v>114</v>
      </c>
      <c r="D524" s="88">
        <f>IFERROR(VLOOKUP(E524,Accounts!$B$2:$C$66,2,FALSE),0)</f>
        <v>3020</v>
      </c>
      <c r="E524" s="87" t="s">
        <v>12</v>
      </c>
      <c r="F524" s="89"/>
      <c r="G524" s="68">
        <v>90</v>
      </c>
    </row>
    <row r="525" spans="1:7">
      <c r="A525" s="134">
        <v>46197</v>
      </c>
      <c r="B525" s="86">
        <v>46184</v>
      </c>
      <c r="C525" s="87" t="s">
        <v>112</v>
      </c>
      <c r="D525" s="88">
        <f>IFERROR(VLOOKUP(E525,Accounts!$B$2:$C$66,2,FALSE),0)</f>
        <v>6280</v>
      </c>
      <c r="E525" s="87" t="s">
        <v>67</v>
      </c>
      <c r="F525" s="89">
        <v>500</v>
      </c>
      <c r="G525" s="68"/>
    </row>
    <row r="526" spans="1:7">
      <c r="A526" s="134">
        <v>46198</v>
      </c>
      <c r="B526" s="86">
        <v>46184</v>
      </c>
      <c r="C526" s="87" t="s">
        <v>112</v>
      </c>
      <c r="D526" s="88">
        <f>IFERROR(VLOOKUP(E526,Accounts!$B$2:$C$66,2,FALSE),0)</f>
        <v>3020</v>
      </c>
      <c r="E526" s="87" t="s">
        <v>12</v>
      </c>
      <c r="F526" s="89"/>
      <c r="G526" s="68">
        <v>500</v>
      </c>
    </row>
    <row r="527" spans="1:7">
      <c r="A527" s="134">
        <v>46199</v>
      </c>
      <c r="B527" s="86">
        <v>46184</v>
      </c>
      <c r="C527" s="87" t="s">
        <v>260</v>
      </c>
      <c r="D527" s="88">
        <f>IFERROR(VLOOKUP(E527,Accounts!$B$2:$C$66,2,FALSE),0)</f>
        <v>3030</v>
      </c>
      <c r="E527" s="87" t="s">
        <v>13</v>
      </c>
      <c r="F527" s="89">
        <v>7080</v>
      </c>
      <c r="G527" s="91"/>
    </row>
    <row r="528" spans="1:7">
      <c r="A528" s="134">
        <v>46200</v>
      </c>
      <c r="B528" s="86">
        <v>46184</v>
      </c>
      <c r="C528" s="87" t="s">
        <v>260</v>
      </c>
      <c r="D528" s="88">
        <f>IFERROR(VLOOKUP(E528,Accounts!$B$2:$C$66,2,FALSE),0)</f>
        <v>3110</v>
      </c>
      <c r="E528" s="87" t="s">
        <v>68</v>
      </c>
      <c r="F528" s="89">
        <v>150000</v>
      </c>
      <c r="G528" s="91"/>
    </row>
    <row r="529" spans="1:9">
      <c r="A529" s="134">
        <v>46201</v>
      </c>
      <c r="B529" s="86">
        <v>46184</v>
      </c>
      <c r="C529" s="87" t="s">
        <v>260</v>
      </c>
      <c r="D529" s="88">
        <f>IFERROR(VLOOKUP(E529,Accounts!$B$2:$C$66,2,FALSE),0)</f>
        <v>3020</v>
      </c>
      <c r="E529" s="87" t="s">
        <v>12</v>
      </c>
      <c r="F529" s="90"/>
      <c r="G529" s="68">
        <v>150000</v>
      </c>
    </row>
    <row r="530" spans="1:9">
      <c r="A530" s="134">
        <v>46202</v>
      </c>
      <c r="B530" s="86">
        <v>46184</v>
      </c>
      <c r="C530" s="87" t="s">
        <v>260</v>
      </c>
      <c r="D530" s="88">
        <f>IFERROR(VLOOKUP(E530,Accounts!$B$2:$C$66,2,FALSE),0)</f>
        <v>7020</v>
      </c>
      <c r="E530" s="87" t="s">
        <v>51</v>
      </c>
      <c r="F530" s="90"/>
      <c r="G530" s="68">
        <v>6000</v>
      </c>
      <c r="I530" s="26"/>
    </row>
    <row r="531" spans="1:9">
      <c r="A531" s="134">
        <v>46203</v>
      </c>
      <c r="B531" s="86">
        <v>46184</v>
      </c>
      <c r="C531" s="87" t="s">
        <v>260</v>
      </c>
      <c r="D531" s="88">
        <f>IFERROR(VLOOKUP(E531,Accounts!$B$2:$C$66,2,FALSE),0)</f>
        <v>2530</v>
      </c>
      <c r="E531" s="87" t="s">
        <v>104</v>
      </c>
      <c r="F531" s="90"/>
      <c r="G531" s="68">
        <v>1080</v>
      </c>
      <c r="I531" s="26"/>
    </row>
    <row r="532" spans="1:9">
      <c r="A532" s="134">
        <v>46174</v>
      </c>
      <c r="B532" s="86">
        <v>46197</v>
      </c>
      <c r="C532" s="87" t="s">
        <v>216</v>
      </c>
      <c r="D532" s="88">
        <f>IFERROR(VLOOKUP(E532,Accounts!$B$2:$C$66,2,FALSE),0)</f>
        <v>3020</v>
      </c>
      <c r="E532" s="87" t="s">
        <v>12</v>
      </c>
      <c r="F532" s="89">
        <v>518880</v>
      </c>
      <c r="G532" s="91"/>
    </row>
    <row r="533" spans="1:9">
      <c r="A533" s="134">
        <v>46175</v>
      </c>
      <c r="B533" s="86">
        <v>46197</v>
      </c>
      <c r="C533" s="87" t="s">
        <v>216</v>
      </c>
      <c r="D533" s="88">
        <f>IFERROR(VLOOKUP(E533,Accounts!$B$2:$C$66,2,FALSE),0)</f>
        <v>7010</v>
      </c>
      <c r="E533" s="87" t="s">
        <v>50</v>
      </c>
      <c r="F533" s="89"/>
      <c r="G533" s="101">
        <f>100000</f>
        <v>100000</v>
      </c>
    </row>
    <row r="534" spans="1:9">
      <c r="A534" s="134">
        <v>46175</v>
      </c>
      <c r="B534" s="86">
        <v>46197</v>
      </c>
      <c r="C534" s="87" t="s">
        <v>216</v>
      </c>
      <c r="D534" s="88">
        <f>IFERROR(VLOOKUP(E534,Accounts!$B$2:$C$66,2,FALSE),0)</f>
        <v>3110</v>
      </c>
      <c r="E534" s="87" t="s">
        <v>68</v>
      </c>
      <c r="F534" s="90"/>
      <c r="G534" s="68">
        <v>418880</v>
      </c>
    </row>
    <row r="535" spans="1:9" ht="15.75" customHeight="1">
      <c r="A535" s="134">
        <v>46178</v>
      </c>
      <c r="B535" s="86">
        <v>46197</v>
      </c>
      <c r="C535" s="87" t="s">
        <v>114</v>
      </c>
      <c r="D535" s="88">
        <f>IFERROR(VLOOKUP(E535,Accounts!$B$2:$C$66,2,FALSE),0)</f>
        <v>6280</v>
      </c>
      <c r="E535" s="87" t="s">
        <v>67</v>
      </c>
      <c r="F535" s="89">
        <v>500</v>
      </c>
      <c r="G535" s="68"/>
    </row>
    <row r="536" spans="1:9">
      <c r="A536" s="134">
        <v>46179</v>
      </c>
      <c r="B536" s="86">
        <v>46197</v>
      </c>
      <c r="C536" s="87" t="s">
        <v>114</v>
      </c>
      <c r="D536" s="88">
        <f>IFERROR(VLOOKUP(E536,Accounts!$B$2:$C$66,2,FALSE),0)</f>
        <v>3020</v>
      </c>
      <c r="E536" s="87" t="s">
        <v>12</v>
      </c>
      <c r="F536" s="89"/>
      <c r="G536" s="68">
        <v>500</v>
      </c>
    </row>
    <row r="537" spans="1:9">
      <c r="A537" s="139">
        <v>46180</v>
      </c>
      <c r="B537" s="146">
        <v>46197</v>
      </c>
      <c r="C537" s="128" t="s">
        <v>271</v>
      </c>
      <c r="D537" s="129">
        <f>IFERROR(VLOOKUP(E537,Accounts!$B$2:$C$66,2,FALSE),0)</f>
        <v>3050</v>
      </c>
      <c r="E537" s="128" t="s">
        <v>14</v>
      </c>
      <c r="F537" s="130">
        <v>86670</v>
      </c>
      <c r="G537" s="131"/>
    </row>
    <row r="538" spans="1:9">
      <c r="A538" s="139">
        <v>46181</v>
      </c>
      <c r="B538" s="146">
        <v>46197</v>
      </c>
      <c r="C538" s="128" t="s">
        <v>271</v>
      </c>
      <c r="D538" s="129">
        <f>IFERROR(VLOOKUP(E538,Accounts!$B$2:$C$66,2,FALSE),0)</f>
        <v>3020</v>
      </c>
      <c r="E538" s="128" t="s">
        <v>12</v>
      </c>
      <c r="F538" s="132"/>
      <c r="G538" s="133">
        <v>86670</v>
      </c>
    </row>
    <row r="539" spans="1:9">
      <c r="A539" s="134">
        <v>46182</v>
      </c>
      <c r="B539" s="86">
        <v>46197</v>
      </c>
      <c r="C539" s="87" t="s">
        <v>261</v>
      </c>
      <c r="D539" s="88">
        <f>IFERROR(VLOOKUP(E539,Accounts!$B$2:$C$66,2,FALSE),0)</f>
        <v>3020</v>
      </c>
      <c r="E539" s="87" t="s">
        <v>12</v>
      </c>
      <c r="F539" s="89">
        <v>78587</v>
      </c>
      <c r="G539" s="91"/>
    </row>
    <row r="540" spans="1:9">
      <c r="A540" s="134">
        <v>46183</v>
      </c>
      <c r="B540" s="86">
        <v>46197</v>
      </c>
      <c r="C540" s="87" t="s">
        <v>261</v>
      </c>
      <c r="D540" s="88">
        <f>IFERROR(VLOOKUP(E540,Accounts!$B$2:$C$66,2,FALSE),0)</f>
        <v>7010</v>
      </c>
      <c r="E540" s="87" t="s">
        <v>50</v>
      </c>
      <c r="F540" s="89"/>
      <c r="G540" s="68">
        <f>350000*5%</f>
        <v>17500</v>
      </c>
    </row>
    <row r="541" spans="1:9">
      <c r="A541" s="134">
        <v>46183</v>
      </c>
      <c r="B541" s="86">
        <v>46197</v>
      </c>
      <c r="C541" s="87" t="s">
        <v>261</v>
      </c>
      <c r="D541" s="88">
        <f>IFERROR(VLOOKUP(E541,Accounts!$B$2:$C$66,2,FALSE),0)</f>
        <v>3110</v>
      </c>
      <c r="E541" s="87" t="s">
        <v>68</v>
      </c>
      <c r="F541" s="90"/>
      <c r="G541" s="68">
        <v>61087</v>
      </c>
    </row>
    <row r="542" spans="1:9">
      <c r="A542" s="134">
        <v>46184</v>
      </c>
      <c r="B542" s="86">
        <v>46198</v>
      </c>
      <c r="C542" s="87" t="s">
        <v>262</v>
      </c>
      <c r="D542" s="88">
        <f>IFERROR(VLOOKUP(E542,Accounts!$B$2:$C$66,2,FALSE),0)</f>
        <v>3020</v>
      </c>
      <c r="E542" s="87" t="s">
        <v>12</v>
      </c>
      <c r="F542" s="89">
        <v>300000</v>
      </c>
      <c r="G542" s="91"/>
    </row>
    <row r="543" spans="1:9" ht="12.95" customHeight="1">
      <c r="A543" s="134">
        <v>46185</v>
      </c>
      <c r="B543" s="86">
        <v>46198</v>
      </c>
      <c r="C543" s="87" t="s">
        <v>262</v>
      </c>
      <c r="D543" s="88">
        <f>IFERROR(VLOOKUP(E543,Accounts!$B$2:$C$66,2,FALSE),0)</f>
        <v>3030</v>
      </c>
      <c r="E543" s="87" t="s">
        <v>13</v>
      </c>
      <c r="F543" s="90"/>
      <c r="G543" s="68">
        <v>94400</v>
      </c>
    </row>
    <row r="544" spans="1:9">
      <c r="A544" s="134">
        <v>46186</v>
      </c>
      <c r="B544" s="86">
        <v>46198</v>
      </c>
      <c r="C544" s="87" t="s">
        <v>262</v>
      </c>
      <c r="D544" s="88">
        <f>IFERROR(VLOOKUP(E544,Accounts!$B$2:$C$66,2,FALSE),0)</f>
        <v>7010</v>
      </c>
      <c r="E544" s="87" t="s">
        <v>50</v>
      </c>
      <c r="F544" s="90"/>
      <c r="G544" s="68">
        <v>200000</v>
      </c>
    </row>
    <row r="545" spans="1:9">
      <c r="A545" s="134">
        <v>46187</v>
      </c>
      <c r="B545" s="86">
        <v>46198</v>
      </c>
      <c r="C545" s="87" t="s">
        <v>262</v>
      </c>
      <c r="D545" s="88">
        <f>IFERROR(VLOOKUP(E545,Accounts!$B$2:$C$66,2,FALSE),0)</f>
        <v>3110</v>
      </c>
      <c r="E545" s="87" t="s">
        <v>68</v>
      </c>
      <c r="F545" s="90"/>
      <c r="G545" s="68">
        <v>5600</v>
      </c>
    </row>
    <row r="546" spans="1:9">
      <c r="A546" s="134">
        <v>46188</v>
      </c>
      <c r="B546" s="86">
        <v>46199</v>
      </c>
      <c r="C546" s="87" t="s">
        <v>263</v>
      </c>
      <c r="D546" s="88">
        <f>IFERROR(VLOOKUP(E546,Accounts!$B$2:$C$66,2,FALSE),0)</f>
        <v>3020</v>
      </c>
      <c r="E546" s="87" t="s">
        <v>12</v>
      </c>
      <c r="F546" s="89">
        <v>112267</v>
      </c>
      <c r="G546" s="91"/>
    </row>
    <row r="547" spans="1:9">
      <c r="A547" s="134">
        <v>46189</v>
      </c>
      <c r="B547" s="86">
        <v>46199</v>
      </c>
      <c r="C547" s="87" t="s">
        <v>263</v>
      </c>
      <c r="D547" s="88">
        <f>IFERROR(VLOOKUP(E547,Accounts!$B$2:$C$66,2,FALSE),0)</f>
        <v>7010</v>
      </c>
      <c r="E547" s="87" t="s">
        <v>50</v>
      </c>
      <c r="F547" s="89"/>
      <c r="G547" s="101">
        <v>25000</v>
      </c>
    </row>
    <row r="548" spans="1:9">
      <c r="A548" s="134">
        <v>46189</v>
      </c>
      <c r="B548" s="86">
        <v>46199</v>
      </c>
      <c r="C548" s="87" t="s">
        <v>263</v>
      </c>
      <c r="D548" s="88">
        <f>IFERROR(VLOOKUP(E548,Accounts!$B$2:$C$66,2,FALSE),0)</f>
        <v>3110</v>
      </c>
      <c r="E548" s="87" t="s">
        <v>68</v>
      </c>
      <c r="F548" s="90"/>
      <c r="G548" s="60">
        <v>87267</v>
      </c>
    </row>
    <row r="549" spans="1:9">
      <c r="A549" s="134">
        <v>46190</v>
      </c>
      <c r="B549" s="86">
        <v>46200</v>
      </c>
      <c r="C549" s="87" t="s">
        <v>264</v>
      </c>
      <c r="D549" s="88">
        <f>IFERROR(VLOOKUP(E549,Accounts!$B$2:$C$66,2,FALSE),0)</f>
        <v>3020</v>
      </c>
      <c r="E549" s="87" t="s">
        <v>12</v>
      </c>
      <c r="F549" s="89">
        <v>70000</v>
      </c>
      <c r="G549" s="91"/>
    </row>
    <row r="550" spans="1:9">
      <c r="A550" s="134">
        <v>46191</v>
      </c>
      <c r="B550" s="86">
        <v>46200</v>
      </c>
      <c r="C550" s="87" t="s">
        <v>264</v>
      </c>
      <c r="D550" s="88">
        <f>IFERROR(VLOOKUP(E550,Accounts!$B$2:$C$66,2,FALSE),0)</f>
        <v>3030</v>
      </c>
      <c r="E550" s="87" t="s">
        <v>13</v>
      </c>
      <c r="F550" s="90"/>
      <c r="G550" s="68">
        <v>23600</v>
      </c>
    </row>
    <row r="551" spans="1:9">
      <c r="A551" s="134">
        <v>46192</v>
      </c>
      <c r="B551" s="86">
        <v>46200</v>
      </c>
      <c r="C551" s="87" t="s">
        <v>264</v>
      </c>
      <c r="D551" s="88">
        <f>IFERROR(VLOOKUP(E551,Accounts!$B$2:$C$66,2,FALSE),0)</f>
        <v>7010</v>
      </c>
      <c r="E551" s="87" t="s">
        <v>50</v>
      </c>
      <c r="F551" s="90"/>
      <c r="G551" s="68">
        <f>F549-G550</f>
        <v>46400</v>
      </c>
      <c r="I551" s="69"/>
    </row>
    <row r="552" spans="1:9">
      <c r="A552" s="134">
        <v>46194</v>
      </c>
      <c r="B552" s="86">
        <v>46201</v>
      </c>
      <c r="C552" s="87" t="s">
        <v>265</v>
      </c>
      <c r="D552" s="88">
        <f>IFERROR(VLOOKUP(E552,Accounts!$B$2:$C$66,2,FALSE),0)</f>
        <v>3020</v>
      </c>
      <c r="E552" s="87" t="s">
        <v>12</v>
      </c>
      <c r="F552" s="89">
        <v>50000</v>
      </c>
      <c r="G552" s="91"/>
    </row>
    <row r="553" spans="1:9">
      <c r="A553" s="134">
        <v>46195</v>
      </c>
      <c r="B553" s="86">
        <v>46201</v>
      </c>
      <c r="C553" s="87" t="s">
        <v>265</v>
      </c>
      <c r="D553" s="88">
        <f>IFERROR(VLOOKUP(E553,Accounts!$B$2:$C$66,2,FALSE),0)</f>
        <v>7010</v>
      </c>
      <c r="E553" s="87" t="s">
        <v>50</v>
      </c>
      <c r="F553" s="90"/>
      <c r="G553" s="68">
        <v>50000</v>
      </c>
    </row>
    <row r="554" spans="1:9">
      <c r="A554" s="134">
        <v>46196</v>
      </c>
      <c r="B554" s="86">
        <v>46201</v>
      </c>
      <c r="C554" s="87" t="s">
        <v>266</v>
      </c>
      <c r="D554" s="88">
        <f>IFERROR(VLOOKUP(E554,Accounts!$B$2:$C$66,2,FALSE),0)</f>
        <v>3020</v>
      </c>
      <c r="E554" s="87" t="s">
        <v>12</v>
      </c>
      <c r="F554" s="89">
        <v>300000</v>
      </c>
      <c r="G554" s="91"/>
    </row>
    <row r="555" spans="1:9">
      <c r="A555" s="134">
        <v>46197</v>
      </c>
      <c r="B555" s="86">
        <v>46201</v>
      </c>
      <c r="C555" s="87" t="s">
        <v>266</v>
      </c>
      <c r="D555" s="88">
        <f>IFERROR(VLOOKUP(E555,Accounts!$B$2:$C$66,2,FALSE),0)</f>
        <v>7010</v>
      </c>
      <c r="E555" s="87" t="s">
        <v>50</v>
      </c>
      <c r="F555" s="90"/>
      <c r="G555" s="68">
        <v>300000</v>
      </c>
    </row>
    <row r="556" spans="1:9">
      <c r="A556" s="134">
        <v>46198</v>
      </c>
      <c r="B556" s="86">
        <v>46202</v>
      </c>
      <c r="C556" s="87" t="s">
        <v>267</v>
      </c>
      <c r="D556" s="88">
        <f>IFERROR(VLOOKUP(E556,Accounts!$B$2:$C$66,2,FALSE),0)</f>
        <v>3020</v>
      </c>
      <c r="E556" s="87" t="s">
        <v>12</v>
      </c>
      <c r="F556" s="89">
        <v>135000</v>
      </c>
      <c r="G556" s="91"/>
    </row>
    <row r="557" spans="1:9">
      <c r="A557" s="134">
        <v>46199</v>
      </c>
      <c r="B557" s="86">
        <v>46202</v>
      </c>
      <c r="C557" s="87" t="s">
        <v>267</v>
      </c>
      <c r="D557" s="88">
        <f>IFERROR(VLOOKUP(E557,Accounts!$B$2:$C$66,2,FALSE),0)</f>
        <v>3030</v>
      </c>
      <c r="E557" s="87" t="s">
        <v>13</v>
      </c>
      <c r="F557" s="90"/>
      <c r="G557" s="68">
        <v>70800</v>
      </c>
    </row>
    <row r="558" spans="1:9">
      <c r="A558" s="134">
        <v>46200</v>
      </c>
      <c r="B558" s="86">
        <v>46202</v>
      </c>
      <c r="C558" s="87" t="s">
        <v>267</v>
      </c>
      <c r="D558" s="88">
        <f>IFERROR(VLOOKUP(E558,Accounts!$B$2:$C$66,2,FALSE),0)</f>
        <v>7010</v>
      </c>
      <c r="E558" s="87" t="s">
        <v>50</v>
      </c>
      <c r="F558" s="90"/>
      <c r="G558" s="68">
        <f>F556-G557</f>
        <v>64200</v>
      </c>
      <c r="I558" s="69">
        <f>(G558-75000)*-1</f>
        <v>10800</v>
      </c>
    </row>
    <row r="559" spans="1:9">
      <c r="A559" s="134">
        <v>46202</v>
      </c>
      <c r="B559" s="86">
        <v>46203</v>
      </c>
      <c r="C559" s="87" t="s">
        <v>115</v>
      </c>
      <c r="D559" s="88">
        <f>IFERROR(VLOOKUP(E559,Accounts!$B$2:$C$66,2,FALSE),0)</f>
        <v>6280</v>
      </c>
      <c r="E559" s="87" t="s">
        <v>67</v>
      </c>
      <c r="F559" s="89">
        <v>500</v>
      </c>
      <c r="G559" s="68"/>
    </row>
    <row r="560" spans="1:9">
      <c r="A560" s="134">
        <v>46203</v>
      </c>
      <c r="B560" s="86">
        <v>46203</v>
      </c>
      <c r="C560" s="87" t="s">
        <v>115</v>
      </c>
      <c r="D560" s="88">
        <f>IFERROR(VLOOKUP(E560,Accounts!$B$2:$C$66,2,FALSE),0)</f>
        <v>3020</v>
      </c>
      <c r="E560" s="87" t="s">
        <v>12</v>
      </c>
      <c r="F560" s="89"/>
      <c r="G560" s="68">
        <v>500</v>
      </c>
    </row>
    <row r="561" spans="1:7">
      <c r="A561" s="134">
        <v>46203</v>
      </c>
      <c r="B561" s="86">
        <v>46203</v>
      </c>
      <c r="C561" s="87" t="s">
        <v>272</v>
      </c>
      <c r="D561" s="88">
        <f>IFERROR(VLOOKUP(E561,[1]Accounts!$B$2:$C$64,2,FALSE),0)</f>
        <v>6110</v>
      </c>
      <c r="E561" s="87" t="s">
        <v>38</v>
      </c>
      <c r="F561" s="89">
        <v>541501</v>
      </c>
      <c r="G561" s="68"/>
    </row>
    <row r="562" spans="1:7">
      <c r="A562" s="134">
        <v>46203</v>
      </c>
      <c r="B562" s="86">
        <v>46203</v>
      </c>
      <c r="C562" s="87" t="s">
        <v>272</v>
      </c>
      <c r="D562" s="88">
        <f>IFERROR(VLOOKUP(E562,[1]Accounts!$B$2:$C$64,2,FALSE),0)</f>
        <v>2540</v>
      </c>
      <c r="E562" s="87" t="s">
        <v>71</v>
      </c>
      <c r="F562" s="89"/>
      <c r="G562" s="68">
        <v>114000</v>
      </c>
    </row>
    <row r="563" spans="1:7">
      <c r="A563" s="134">
        <v>46203</v>
      </c>
      <c r="B563" s="86">
        <v>46203</v>
      </c>
      <c r="C563" s="87" t="s">
        <v>272</v>
      </c>
      <c r="D563" s="88">
        <f>IFERROR(VLOOKUP(E563,[1]Accounts!$B$2:$C$64,2,FALSE),0)</f>
        <v>2550</v>
      </c>
      <c r="E563" s="87" t="s">
        <v>97</v>
      </c>
      <c r="F563" s="89"/>
      <c r="G563" s="68">
        <v>3000</v>
      </c>
    </row>
    <row r="564" spans="1:7">
      <c r="A564" s="134">
        <v>46203</v>
      </c>
      <c r="B564" s="86">
        <v>46203</v>
      </c>
      <c r="C564" s="87" t="s">
        <v>272</v>
      </c>
      <c r="D564" s="88">
        <f>IFERROR(VLOOKUP(E564,[1]Accounts!$B$2:$C$64,2,FALSE),0)</f>
        <v>2560</v>
      </c>
      <c r="E564" s="87" t="s">
        <v>98</v>
      </c>
      <c r="F564" s="89"/>
      <c r="G564" s="68">
        <v>70000</v>
      </c>
    </row>
    <row r="565" spans="1:7">
      <c r="A565" s="134">
        <v>46203</v>
      </c>
      <c r="B565" s="86">
        <v>46203</v>
      </c>
      <c r="C565" s="87" t="s">
        <v>272</v>
      </c>
      <c r="D565" s="88">
        <f>IFERROR(VLOOKUP(E565,[1]Accounts!$B$2:$C$64,2,FALSE),0)</f>
        <v>2570</v>
      </c>
      <c r="E565" s="87" t="s">
        <v>99</v>
      </c>
      <c r="F565" s="89"/>
      <c r="G565" s="68">
        <v>1773</v>
      </c>
    </row>
    <row r="566" spans="1:7">
      <c r="A566" s="134">
        <v>46203</v>
      </c>
      <c r="B566" s="86">
        <v>46203</v>
      </c>
      <c r="C566" s="87" t="s">
        <v>272</v>
      </c>
      <c r="D566" s="88">
        <f>IFERROR(VLOOKUP(E566,[1]Accounts!$B$2:$C$64,2,FALSE),0)</f>
        <v>2580</v>
      </c>
      <c r="E566" s="87" t="s">
        <v>100</v>
      </c>
      <c r="F566" s="89"/>
      <c r="G566" s="68">
        <v>352728</v>
      </c>
    </row>
    <row r="567" spans="1:7">
      <c r="A567" s="134">
        <v>46194</v>
      </c>
      <c r="B567" s="86">
        <v>46203</v>
      </c>
      <c r="C567" s="87" t="s">
        <v>268</v>
      </c>
      <c r="D567" s="88">
        <f>IFERROR(VLOOKUP(E567,Accounts!$B$2:$C$66,2,FALSE),0)</f>
        <v>2580</v>
      </c>
      <c r="E567" s="87" t="s">
        <v>100</v>
      </c>
      <c r="F567" s="89">
        <v>352728</v>
      </c>
      <c r="G567" s="68"/>
    </row>
    <row r="568" spans="1:7">
      <c r="A568" s="134">
        <v>46194</v>
      </c>
      <c r="B568" s="86">
        <v>46203</v>
      </c>
      <c r="C568" s="87" t="s">
        <v>268</v>
      </c>
      <c r="D568" s="88">
        <f>IFERROR(VLOOKUP(E568,Accounts!$B$2:$C$66,2,FALSE),0)</f>
        <v>3020</v>
      </c>
      <c r="E568" s="87" t="s">
        <v>12</v>
      </c>
      <c r="F568" s="89"/>
      <c r="G568" s="68">
        <v>352728</v>
      </c>
    </row>
    <row r="569" spans="1:7">
      <c r="A569" s="134">
        <v>46195</v>
      </c>
      <c r="B569" s="86">
        <v>46203</v>
      </c>
      <c r="C569" s="87" t="s">
        <v>111</v>
      </c>
      <c r="D569" s="88">
        <f>IFERROR(VLOOKUP(E569,Accounts!$B$2:$C$66,2,FALSE),0)</f>
        <v>6280</v>
      </c>
      <c r="E569" s="87" t="s">
        <v>67</v>
      </c>
      <c r="F569" s="89">
        <v>2000</v>
      </c>
      <c r="G569" s="68"/>
    </row>
    <row r="570" spans="1:7">
      <c r="A570" s="134">
        <v>46196</v>
      </c>
      <c r="B570" s="86">
        <v>46203</v>
      </c>
      <c r="C570" s="87" t="s">
        <v>111</v>
      </c>
      <c r="D570" s="88">
        <f>IFERROR(VLOOKUP(E570,Accounts!$B$2:$C$66,2,FALSE),0)</f>
        <v>3020</v>
      </c>
      <c r="E570" s="87" t="s">
        <v>12</v>
      </c>
      <c r="F570" s="89"/>
      <c r="G570" s="68">
        <v>2000</v>
      </c>
    </row>
    <row r="571" spans="1:7">
      <c r="A571" s="134">
        <v>46196</v>
      </c>
      <c r="B571" s="86">
        <v>46203</v>
      </c>
      <c r="C571" s="87" t="s">
        <v>293</v>
      </c>
      <c r="D571" s="88">
        <f>IFERROR(VLOOKUP(E571,Accounts!$B$2:$C$66,2,FALSE),0)</f>
        <v>3030</v>
      </c>
      <c r="E571" s="87" t="s">
        <v>13</v>
      </c>
      <c r="F571" s="89">
        <v>1275153.3999999999</v>
      </c>
      <c r="G571" s="91"/>
    </row>
    <row r="572" spans="1:7">
      <c r="A572" s="134">
        <v>46196</v>
      </c>
      <c r="B572" s="86">
        <v>46203</v>
      </c>
      <c r="C572" s="87" t="s">
        <v>293</v>
      </c>
      <c r="D572" s="88">
        <f>IFERROR(VLOOKUP(E572,Accounts!$B$2:$C$66,2,FALSE),0)</f>
        <v>7010</v>
      </c>
      <c r="E572" s="87" t="s">
        <v>50</v>
      </c>
      <c r="F572" s="90"/>
      <c r="G572" s="68">
        <v>1275153.3999999999</v>
      </c>
    </row>
    <row r="573" spans="1:7">
      <c r="A573" s="134">
        <v>46196</v>
      </c>
      <c r="B573" s="86">
        <v>46203</v>
      </c>
      <c r="C573" s="87" t="s">
        <v>295</v>
      </c>
      <c r="D573" s="88">
        <f>IFERROR(VLOOKUP(E573,Accounts!$B$2:$C$66,2,FALSE),0)</f>
        <v>6300</v>
      </c>
      <c r="E573" s="87" t="s">
        <v>48</v>
      </c>
      <c r="F573" s="89">
        <v>191500</v>
      </c>
      <c r="G573" s="68"/>
    </row>
    <row r="574" spans="1:7">
      <c r="A574" s="134">
        <v>46196</v>
      </c>
      <c r="B574" s="86">
        <v>46203</v>
      </c>
      <c r="C574" s="87" t="s">
        <v>295</v>
      </c>
      <c r="D574" s="88">
        <f>IFERROR(VLOOKUP(E574,Accounts!$B$2:$C$66,2,FALSE),0)</f>
        <v>3010</v>
      </c>
      <c r="E574" s="87" t="s">
        <v>11</v>
      </c>
      <c r="F574" s="89"/>
      <c r="G574" s="68">
        <v>191500</v>
      </c>
    </row>
    <row r="575" spans="1:7">
      <c r="A575" s="134">
        <v>46196</v>
      </c>
      <c r="B575" s="86">
        <v>46203</v>
      </c>
      <c r="C575" s="87" t="s">
        <v>296</v>
      </c>
      <c r="D575" s="88">
        <f>IFERROR(VLOOKUP(E575,Accounts!$B$2:$C$66,2,FALSE),0)</f>
        <v>6210</v>
      </c>
      <c r="E575" s="87" t="s">
        <v>102</v>
      </c>
      <c r="F575" s="89">
        <v>423728</v>
      </c>
      <c r="G575" s="68"/>
    </row>
    <row r="576" spans="1:7">
      <c r="A576" s="134">
        <v>46196</v>
      </c>
      <c r="B576" s="86">
        <v>46203</v>
      </c>
      <c r="C576" s="87" t="s">
        <v>296</v>
      </c>
      <c r="D576" s="88">
        <f>IFERROR(VLOOKUP(E576,Accounts!$B$2:$C$66,2,FALSE),0)</f>
        <v>3050</v>
      </c>
      <c r="E576" s="87" t="s">
        <v>14</v>
      </c>
      <c r="F576" s="89"/>
      <c r="G576" s="68">
        <v>423728</v>
      </c>
    </row>
  </sheetData>
  <conditionalFormatting sqref="E1:E270 E337:E1048576">
    <cfRule type="containsText" dxfId="1" priority="108" operator="containsText" text="Bank accounts">
      <formula>NOT(ISERROR(SEARCH("Bank accounts",E1)))</formula>
    </cfRule>
  </conditionalFormatting>
  <conditionalFormatting sqref="E271:E336">
    <cfRule type="containsText" dxfId="0" priority="80" operator="containsText" text="Bank accounts">
      <formula>NOT(ISERROR(SEARCH("Bank accounts",E271)))</formula>
    </cfRule>
  </conditionalFormatting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Accounts!$B$3:$B$66</xm:f>
          </x14:formula1>
          <xm:sqref>E3:E249 E252:E335 E337:E392 E399:E560 E567:E581</xm:sqref>
        </x14:dataValidation>
        <x14:dataValidation type="list" allowBlank="1" showInputMessage="1" showErrorMessage="1">
          <x14:formula1>
            <xm:f>Accounts!$B:$B</xm:f>
          </x14:formula1>
          <xm:sqref>E250:E251</xm:sqref>
        </x14:dataValidation>
        <x14:dataValidation type="list" allowBlank="1" showInputMessage="1" showErrorMessage="1">
          <x14:formula1>
            <xm:f>Months!$B$2:$B$19</xm:f>
          </x14:formula1>
          <xm:sqref>A3:A335 A337:A576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8"/>
  <sheetViews>
    <sheetView workbookViewId="0">
      <selection activeCell="D10" sqref="D10"/>
    </sheetView>
  </sheetViews>
  <sheetFormatPr defaultRowHeight="14.25"/>
  <cols>
    <col min="1" max="2" width="8.75" bestFit="1" customWidth="1"/>
    <col min="3" max="3" width="52.125" bestFit="1" customWidth="1"/>
    <col min="4" max="4" width="14.625" bestFit="1" customWidth="1"/>
    <col min="5" max="5" width="15.625" bestFit="1" customWidth="1"/>
    <col min="6" max="7" width="8.75" bestFit="1" customWidth="1"/>
  </cols>
  <sheetData>
    <row r="1" spans="1:7" ht="15">
      <c r="A1" s="151" t="s">
        <v>297</v>
      </c>
    </row>
    <row r="3" spans="1:7">
      <c r="A3" t="s">
        <v>61</v>
      </c>
      <c r="B3" t="s">
        <v>60</v>
      </c>
      <c r="C3" t="s">
        <v>66</v>
      </c>
      <c r="D3" t="s">
        <v>62</v>
      </c>
      <c r="E3" t="s">
        <v>63</v>
      </c>
      <c r="F3" t="s">
        <v>64</v>
      </c>
      <c r="G3" t="s">
        <v>65</v>
      </c>
    </row>
    <row r="4" spans="1:7">
      <c r="A4" s="150">
        <v>46189</v>
      </c>
      <c r="B4" s="150">
        <v>46199</v>
      </c>
      <c r="C4" t="s">
        <v>263</v>
      </c>
      <c r="D4">
        <v>3110</v>
      </c>
      <c r="E4" t="s">
        <v>68</v>
      </c>
      <c r="G4">
        <v>87267</v>
      </c>
    </row>
    <row r="5" spans="1:7">
      <c r="A5" s="150">
        <v>46187</v>
      </c>
      <c r="B5" s="150">
        <v>46198</v>
      </c>
      <c r="C5" t="s">
        <v>262</v>
      </c>
      <c r="D5">
        <v>3110</v>
      </c>
      <c r="E5" t="s">
        <v>68</v>
      </c>
      <c r="G5">
        <v>5600</v>
      </c>
    </row>
    <row r="6" spans="1:7">
      <c r="A6" s="150">
        <v>46183</v>
      </c>
      <c r="B6" s="150">
        <v>46197</v>
      </c>
      <c r="C6" t="s">
        <v>261</v>
      </c>
      <c r="D6">
        <v>3110</v>
      </c>
      <c r="E6" t="s">
        <v>68</v>
      </c>
      <c r="G6">
        <v>61087</v>
      </c>
    </row>
    <row r="7" spans="1:7">
      <c r="A7" s="150">
        <v>46023</v>
      </c>
      <c r="B7" s="150">
        <v>46023</v>
      </c>
      <c r="D7">
        <v>3110</v>
      </c>
      <c r="E7" t="s">
        <v>68</v>
      </c>
      <c r="F7">
        <v>19924960</v>
      </c>
    </row>
    <row r="8" spans="1:7">
      <c r="A8" s="150">
        <v>46175</v>
      </c>
      <c r="B8" s="150">
        <v>46197</v>
      </c>
      <c r="C8" t="s">
        <v>216</v>
      </c>
      <c r="D8">
        <v>3110</v>
      </c>
      <c r="E8" t="s">
        <v>68</v>
      </c>
      <c r="G8">
        <v>418880</v>
      </c>
    </row>
    <row r="9" spans="1:7">
      <c r="A9" s="150">
        <v>46200</v>
      </c>
      <c r="B9" s="150">
        <v>46184</v>
      </c>
      <c r="C9" t="s">
        <v>260</v>
      </c>
      <c r="D9">
        <v>3110</v>
      </c>
      <c r="E9" t="s">
        <v>68</v>
      </c>
      <c r="F9">
        <v>150000</v>
      </c>
    </row>
    <row r="10" spans="1:7">
      <c r="A10" s="150">
        <v>46175</v>
      </c>
      <c r="B10" s="150">
        <v>46178</v>
      </c>
      <c r="C10" t="s">
        <v>255</v>
      </c>
      <c r="D10">
        <v>3110</v>
      </c>
      <c r="E10" t="s">
        <v>68</v>
      </c>
      <c r="F10">
        <v>1000000</v>
      </c>
    </row>
    <row r="11" spans="1:7">
      <c r="A11" s="150">
        <v>46175</v>
      </c>
      <c r="B11" s="150">
        <v>46178</v>
      </c>
      <c r="C11" t="s">
        <v>254</v>
      </c>
      <c r="D11">
        <v>3110</v>
      </c>
      <c r="E11" t="s">
        <v>68</v>
      </c>
      <c r="F11">
        <v>1500000</v>
      </c>
    </row>
    <row r="12" spans="1:7">
      <c r="A12" s="150">
        <v>46174</v>
      </c>
      <c r="B12" s="150">
        <v>46175</v>
      </c>
      <c r="C12" t="s">
        <v>253</v>
      </c>
      <c r="D12">
        <v>3110</v>
      </c>
      <c r="E12" t="s">
        <v>68</v>
      </c>
      <c r="G12">
        <v>500000</v>
      </c>
    </row>
    <row r="13" spans="1:7">
      <c r="A13" s="150">
        <v>46166</v>
      </c>
      <c r="B13" s="150">
        <v>46171</v>
      </c>
      <c r="C13" t="s">
        <v>249</v>
      </c>
      <c r="D13">
        <v>3110</v>
      </c>
      <c r="E13" t="s">
        <v>68</v>
      </c>
      <c r="G13">
        <v>64027</v>
      </c>
    </row>
    <row r="14" spans="1:7">
      <c r="A14" s="150">
        <v>46150</v>
      </c>
      <c r="B14" s="150">
        <v>46168</v>
      </c>
      <c r="C14" t="s">
        <v>246</v>
      </c>
      <c r="D14">
        <v>3110</v>
      </c>
      <c r="E14" t="s">
        <v>68</v>
      </c>
      <c r="G14">
        <v>44567</v>
      </c>
    </row>
    <row r="15" spans="1:7">
      <c r="A15" s="150">
        <v>46170</v>
      </c>
      <c r="B15" s="150">
        <v>46164</v>
      </c>
      <c r="C15" t="s">
        <v>159</v>
      </c>
      <c r="D15">
        <v>3110</v>
      </c>
      <c r="E15" t="s">
        <v>68</v>
      </c>
      <c r="F15">
        <v>500000</v>
      </c>
    </row>
    <row r="16" spans="1:7">
      <c r="A16" s="150">
        <v>46168</v>
      </c>
      <c r="B16" s="150">
        <v>46163</v>
      </c>
      <c r="C16" t="s">
        <v>216</v>
      </c>
      <c r="D16">
        <v>3110</v>
      </c>
      <c r="E16" t="s">
        <v>68</v>
      </c>
      <c r="G16">
        <v>418880</v>
      </c>
    </row>
    <row r="17" spans="1:7">
      <c r="A17" s="150">
        <v>46166</v>
      </c>
      <c r="B17" s="150">
        <v>46160</v>
      </c>
      <c r="C17" t="s">
        <v>244</v>
      </c>
      <c r="D17">
        <v>3110</v>
      </c>
      <c r="E17" t="s">
        <v>68</v>
      </c>
      <c r="G17">
        <v>900000</v>
      </c>
    </row>
    <row r="18" spans="1:7">
      <c r="A18" s="150">
        <v>46153</v>
      </c>
      <c r="B18" s="150">
        <v>46157</v>
      </c>
      <c r="C18" t="s">
        <v>240</v>
      </c>
      <c r="D18">
        <v>3110</v>
      </c>
      <c r="E18" t="s">
        <v>68</v>
      </c>
      <c r="G18">
        <v>1600000</v>
      </c>
    </row>
    <row r="19" spans="1:7">
      <c r="A19" s="150">
        <v>46151</v>
      </c>
      <c r="B19" s="150">
        <v>46150</v>
      </c>
      <c r="C19" t="s">
        <v>239</v>
      </c>
      <c r="D19">
        <v>3110</v>
      </c>
      <c r="E19" t="s">
        <v>68</v>
      </c>
      <c r="F19">
        <v>500000</v>
      </c>
    </row>
    <row r="20" spans="1:7">
      <c r="A20" s="150">
        <v>46145</v>
      </c>
      <c r="B20" s="150">
        <v>46148</v>
      </c>
      <c r="C20" t="s">
        <v>233</v>
      </c>
      <c r="D20">
        <v>3110</v>
      </c>
      <c r="E20" t="s">
        <v>68</v>
      </c>
      <c r="F20">
        <v>1000000</v>
      </c>
    </row>
    <row r="21" spans="1:7">
      <c r="A21" s="150">
        <v>46144</v>
      </c>
      <c r="B21" s="150">
        <v>46147</v>
      </c>
      <c r="C21" t="s">
        <v>162</v>
      </c>
      <c r="D21">
        <v>3110</v>
      </c>
      <c r="E21" t="s">
        <v>68</v>
      </c>
      <c r="G21">
        <v>500000</v>
      </c>
    </row>
    <row r="22" spans="1:7">
      <c r="A22" s="150">
        <v>46126</v>
      </c>
      <c r="B22" s="150">
        <v>46140</v>
      </c>
      <c r="C22" t="s">
        <v>222</v>
      </c>
      <c r="D22">
        <v>3110</v>
      </c>
      <c r="E22" t="s">
        <v>68</v>
      </c>
      <c r="G22">
        <v>48600</v>
      </c>
    </row>
    <row r="23" spans="1:7">
      <c r="A23" s="150">
        <v>46121</v>
      </c>
      <c r="B23" s="150">
        <v>46140</v>
      </c>
      <c r="C23" t="s">
        <v>227</v>
      </c>
      <c r="D23">
        <v>3110</v>
      </c>
      <c r="E23" t="s">
        <v>68</v>
      </c>
      <c r="F23">
        <v>1000000</v>
      </c>
    </row>
    <row r="24" spans="1:7">
      <c r="A24" s="150">
        <v>46120</v>
      </c>
      <c r="B24" s="150">
        <v>46139</v>
      </c>
      <c r="C24" t="s">
        <v>226</v>
      </c>
      <c r="D24">
        <v>3110</v>
      </c>
      <c r="E24" t="s">
        <v>68</v>
      </c>
      <c r="G24">
        <v>1000000</v>
      </c>
    </row>
    <row r="25" spans="1:7">
      <c r="A25" s="150">
        <v>46116</v>
      </c>
      <c r="B25" s="150">
        <v>46139</v>
      </c>
      <c r="C25" t="s">
        <v>225</v>
      </c>
      <c r="D25">
        <v>3110</v>
      </c>
      <c r="E25" t="s">
        <v>68</v>
      </c>
      <c r="G25">
        <v>50000</v>
      </c>
    </row>
    <row r="26" spans="1:7">
      <c r="A26" s="150">
        <v>46027</v>
      </c>
      <c r="B26" s="150">
        <v>46025</v>
      </c>
      <c r="C26" t="s">
        <v>131</v>
      </c>
      <c r="D26">
        <v>3110</v>
      </c>
      <c r="E26" t="s">
        <v>68</v>
      </c>
      <c r="G26">
        <v>1079200</v>
      </c>
    </row>
    <row r="27" spans="1:7">
      <c r="A27" s="150">
        <v>46141</v>
      </c>
      <c r="B27" s="150">
        <v>46136</v>
      </c>
      <c r="C27" t="s">
        <v>224</v>
      </c>
      <c r="D27">
        <v>3110</v>
      </c>
      <c r="E27" t="s">
        <v>68</v>
      </c>
      <c r="F27">
        <v>6000000</v>
      </c>
    </row>
    <row r="28" spans="1:7">
      <c r="A28" s="150">
        <v>46138</v>
      </c>
      <c r="B28" s="150">
        <v>46136</v>
      </c>
      <c r="C28" t="s">
        <v>222</v>
      </c>
      <c r="D28">
        <v>3110</v>
      </c>
      <c r="E28" t="s">
        <v>68</v>
      </c>
      <c r="G28">
        <v>300000</v>
      </c>
    </row>
    <row r="29" spans="1:7">
      <c r="A29" s="150">
        <v>46133</v>
      </c>
      <c r="B29" s="150">
        <v>46134</v>
      </c>
      <c r="C29" t="s">
        <v>221</v>
      </c>
      <c r="D29">
        <v>3110</v>
      </c>
      <c r="E29" t="s">
        <v>68</v>
      </c>
      <c r="F29">
        <v>500000</v>
      </c>
    </row>
    <row r="30" spans="1:7">
      <c r="A30" s="150">
        <v>46125</v>
      </c>
      <c r="B30" s="150">
        <v>46132</v>
      </c>
      <c r="C30" t="s">
        <v>219</v>
      </c>
      <c r="D30">
        <v>3110</v>
      </c>
      <c r="E30" t="s">
        <v>68</v>
      </c>
      <c r="F30">
        <v>350000</v>
      </c>
    </row>
    <row r="31" spans="1:7">
      <c r="A31" s="150">
        <v>46113</v>
      </c>
      <c r="B31" s="150">
        <v>46127</v>
      </c>
      <c r="C31" t="s">
        <v>217</v>
      </c>
      <c r="D31">
        <v>3110</v>
      </c>
      <c r="E31" t="s">
        <v>68</v>
      </c>
      <c r="F31">
        <v>1000000</v>
      </c>
    </row>
    <row r="32" spans="1:7">
      <c r="A32" s="150">
        <v>46033</v>
      </c>
      <c r="B32" s="150">
        <v>46028</v>
      </c>
      <c r="C32" t="s">
        <v>133</v>
      </c>
      <c r="D32">
        <v>3110</v>
      </c>
      <c r="E32" t="s">
        <v>68</v>
      </c>
      <c r="G32">
        <v>350000</v>
      </c>
    </row>
    <row r="33" spans="1:7">
      <c r="A33" s="150">
        <v>46134</v>
      </c>
      <c r="B33" s="150">
        <v>46127</v>
      </c>
      <c r="C33" t="s">
        <v>216</v>
      </c>
      <c r="D33">
        <v>3110</v>
      </c>
      <c r="E33" t="s">
        <v>68</v>
      </c>
      <c r="G33">
        <v>418880</v>
      </c>
    </row>
    <row r="34" spans="1:7">
      <c r="A34" s="150">
        <v>46035</v>
      </c>
      <c r="B34" s="150">
        <v>46029</v>
      </c>
      <c r="C34" t="s">
        <v>134</v>
      </c>
      <c r="D34">
        <v>3110</v>
      </c>
      <c r="E34" t="s">
        <v>68</v>
      </c>
      <c r="G34">
        <v>5000000</v>
      </c>
    </row>
    <row r="35" spans="1:7">
      <c r="A35" s="150">
        <v>46139</v>
      </c>
      <c r="B35" s="150">
        <v>46125</v>
      </c>
      <c r="C35" t="s">
        <v>213</v>
      </c>
      <c r="D35">
        <v>3110</v>
      </c>
      <c r="E35" t="s">
        <v>68</v>
      </c>
      <c r="F35">
        <v>900000</v>
      </c>
    </row>
    <row r="36" spans="1:7">
      <c r="A36" s="150">
        <v>46037</v>
      </c>
      <c r="B36" s="150">
        <v>46029</v>
      </c>
      <c r="C36" t="s">
        <v>134</v>
      </c>
      <c r="D36">
        <v>3110</v>
      </c>
      <c r="E36" t="s">
        <v>68</v>
      </c>
      <c r="G36">
        <v>1000000</v>
      </c>
    </row>
    <row r="37" spans="1:7">
      <c r="A37" s="150">
        <v>46122</v>
      </c>
      <c r="B37" s="150">
        <v>46121</v>
      </c>
      <c r="C37" t="s">
        <v>211</v>
      </c>
      <c r="D37">
        <v>3110</v>
      </c>
      <c r="E37" t="s">
        <v>68</v>
      </c>
      <c r="F37">
        <v>2000000</v>
      </c>
    </row>
    <row r="38" spans="1:7">
      <c r="A38" s="150">
        <v>46037</v>
      </c>
      <c r="B38" s="150">
        <v>46030</v>
      </c>
      <c r="C38" t="s">
        <v>135</v>
      </c>
      <c r="D38">
        <v>3110</v>
      </c>
      <c r="E38" t="s">
        <v>68</v>
      </c>
      <c r="G38">
        <v>70200</v>
      </c>
    </row>
    <row r="39" spans="1:7">
      <c r="A39" s="150">
        <v>46121</v>
      </c>
      <c r="B39" s="150">
        <v>46121</v>
      </c>
      <c r="C39" t="s">
        <v>210</v>
      </c>
      <c r="D39">
        <v>3110</v>
      </c>
      <c r="E39" t="s">
        <v>68</v>
      </c>
      <c r="G39">
        <v>1472600</v>
      </c>
    </row>
    <row r="40" spans="1:7">
      <c r="A40" s="150">
        <v>46121</v>
      </c>
      <c r="B40" s="150">
        <v>46120</v>
      </c>
      <c r="C40" t="s">
        <v>208</v>
      </c>
      <c r="D40">
        <v>3110</v>
      </c>
      <c r="E40" t="s">
        <v>68</v>
      </c>
      <c r="G40">
        <v>8527400</v>
      </c>
    </row>
    <row r="41" spans="1:7">
      <c r="A41" s="150">
        <v>46117</v>
      </c>
      <c r="B41" s="150">
        <v>46120</v>
      </c>
      <c r="C41" t="s">
        <v>207</v>
      </c>
      <c r="D41">
        <v>3110</v>
      </c>
      <c r="E41" t="s">
        <v>68</v>
      </c>
      <c r="F41">
        <v>1000000</v>
      </c>
    </row>
    <row r="42" spans="1:7">
      <c r="A42" s="150">
        <v>46114</v>
      </c>
      <c r="B42" s="150">
        <v>46114</v>
      </c>
      <c r="C42" t="s">
        <v>206</v>
      </c>
      <c r="D42">
        <v>3110</v>
      </c>
      <c r="E42" t="s">
        <v>68</v>
      </c>
      <c r="F42">
        <v>300000</v>
      </c>
    </row>
    <row r="43" spans="1:7">
      <c r="A43" s="150">
        <v>46113</v>
      </c>
      <c r="B43" s="150">
        <v>46114</v>
      </c>
      <c r="C43" t="s">
        <v>201</v>
      </c>
      <c r="D43">
        <v>3110</v>
      </c>
      <c r="E43" t="s">
        <v>68</v>
      </c>
      <c r="F43">
        <v>500000</v>
      </c>
    </row>
    <row r="44" spans="1:7">
      <c r="A44" s="150">
        <v>46043</v>
      </c>
      <c r="B44" s="150">
        <v>46034</v>
      </c>
      <c r="C44" t="s">
        <v>136</v>
      </c>
      <c r="D44">
        <v>3110</v>
      </c>
      <c r="E44" t="s">
        <v>68</v>
      </c>
      <c r="F44">
        <v>2000000</v>
      </c>
    </row>
    <row r="45" spans="1:7">
      <c r="A45" s="150">
        <v>46109</v>
      </c>
      <c r="B45" s="150">
        <v>46112</v>
      </c>
      <c r="C45" t="s">
        <v>200</v>
      </c>
      <c r="D45">
        <v>3110</v>
      </c>
      <c r="E45" t="s">
        <v>68</v>
      </c>
      <c r="F45">
        <v>1800</v>
      </c>
    </row>
    <row r="46" spans="1:7">
      <c r="A46" s="150">
        <v>46109</v>
      </c>
      <c r="B46" s="150">
        <v>46112</v>
      </c>
      <c r="C46" t="s">
        <v>186</v>
      </c>
      <c r="D46">
        <v>3110</v>
      </c>
      <c r="E46" t="s">
        <v>68</v>
      </c>
      <c r="F46">
        <v>1600000</v>
      </c>
    </row>
    <row r="47" spans="1:7">
      <c r="A47" s="150">
        <v>46110</v>
      </c>
      <c r="B47" s="150">
        <v>46111</v>
      </c>
      <c r="C47" t="s">
        <v>184</v>
      </c>
      <c r="D47">
        <v>3110</v>
      </c>
      <c r="E47" t="s">
        <v>68</v>
      </c>
      <c r="G47">
        <v>499400</v>
      </c>
    </row>
    <row r="48" spans="1:7">
      <c r="A48" s="150">
        <v>46104</v>
      </c>
      <c r="B48" s="150">
        <v>46111</v>
      </c>
      <c r="C48" t="s">
        <v>183</v>
      </c>
      <c r="D48">
        <v>3110</v>
      </c>
      <c r="E48" t="s">
        <v>68</v>
      </c>
      <c r="F48">
        <v>500000</v>
      </c>
    </row>
    <row r="49" spans="1:7">
      <c r="A49" s="150">
        <v>46100</v>
      </c>
      <c r="B49" s="150">
        <v>46109</v>
      </c>
      <c r="C49" t="s">
        <v>182</v>
      </c>
      <c r="D49">
        <v>3110</v>
      </c>
      <c r="E49" t="s">
        <v>68</v>
      </c>
      <c r="G49">
        <v>2000000</v>
      </c>
    </row>
    <row r="50" spans="1:7">
      <c r="A50" s="150">
        <v>46108</v>
      </c>
      <c r="B50" s="150">
        <v>46106</v>
      </c>
      <c r="C50" t="s">
        <v>146</v>
      </c>
      <c r="D50">
        <v>3110</v>
      </c>
      <c r="E50" t="s">
        <v>68</v>
      </c>
      <c r="G50">
        <v>50000</v>
      </c>
    </row>
    <row r="51" spans="1:7">
      <c r="A51" s="150">
        <v>46104</v>
      </c>
      <c r="B51" s="150">
        <v>46104</v>
      </c>
      <c r="C51" t="s">
        <v>180</v>
      </c>
      <c r="D51">
        <v>3110</v>
      </c>
      <c r="E51" t="s">
        <v>68</v>
      </c>
      <c r="G51">
        <v>1500000</v>
      </c>
    </row>
    <row r="52" spans="1:7">
      <c r="A52" s="150">
        <v>46102</v>
      </c>
      <c r="B52" s="150">
        <v>46094</v>
      </c>
      <c r="C52" t="s">
        <v>179</v>
      </c>
      <c r="D52">
        <v>3110</v>
      </c>
      <c r="E52" t="s">
        <v>68</v>
      </c>
      <c r="G52">
        <v>324480</v>
      </c>
    </row>
    <row r="53" spans="1:7">
      <c r="A53" s="150">
        <v>46095</v>
      </c>
      <c r="B53" s="150">
        <v>46090</v>
      </c>
      <c r="C53" t="s">
        <v>178</v>
      </c>
      <c r="D53">
        <v>3110</v>
      </c>
      <c r="E53" t="s">
        <v>68</v>
      </c>
      <c r="F53">
        <v>500000</v>
      </c>
    </row>
    <row r="54" spans="1:7">
      <c r="A54" s="150">
        <v>46081</v>
      </c>
      <c r="B54" s="150">
        <v>46080</v>
      </c>
      <c r="C54" t="s">
        <v>168</v>
      </c>
      <c r="D54">
        <v>3110</v>
      </c>
      <c r="E54" t="s">
        <v>68</v>
      </c>
      <c r="G54">
        <v>200</v>
      </c>
    </row>
    <row r="55" spans="1:7">
      <c r="A55" s="150">
        <v>46081</v>
      </c>
      <c r="B55" s="150">
        <v>46079</v>
      </c>
      <c r="C55" t="s">
        <v>167</v>
      </c>
      <c r="D55">
        <v>3110</v>
      </c>
      <c r="E55" t="s">
        <v>68</v>
      </c>
      <c r="G55">
        <v>209440</v>
      </c>
    </row>
    <row r="56" spans="1:7">
      <c r="A56" s="150">
        <v>46081</v>
      </c>
      <c r="B56" s="150">
        <v>46072</v>
      </c>
      <c r="C56" t="s">
        <v>162</v>
      </c>
      <c r="D56">
        <v>3110</v>
      </c>
      <c r="E56" t="s">
        <v>68</v>
      </c>
      <c r="G56">
        <v>500000</v>
      </c>
    </row>
    <row r="57" spans="1:7">
      <c r="A57" s="150">
        <v>46081</v>
      </c>
      <c r="B57" s="150">
        <v>46066</v>
      </c>
      <c r="C57" t="s">
        <v>161</v>
      </c>
      <c r="D57">
        <v>3110</v>
      </c>
      <c r="E57" t="s">
        <v>68</v>
      </c>
      <c r="F57">
        <v>2000000</v>
      </c>
    </row>
    <row r="58" spans="1:7">
      <c r="A58" s="150">
        <v>46081</v>
      </c>
      <c r="B58" s="150">
        <v>46066</v>
      </c>
      <c r="C58" t="s">
        <v>95</v>
      </c>
      <c r="D58">
        <v>3110</v>
      </c>
      <c r="E58" t="s">
        <v>68</v>
      </c>
      <c r="F58">
        <v>1500000</v>
      </c>
    </row>
    <row r="59" spans="1:7">
      <c r="A59" s="150">
        <v>46077</v>
      </c>
      <c r="B59" s="150">
        <v>46066</v>
      </c>
      <c r="C59" t="s">
        <v>160</v>
      </c>
      <c r="D59">
        <v>3110</v>
      </c>
      <c r="E59" t="s">
        <v>68</v>
      </c>
      <c r="F59">
        <v>2500000</v>
      </c>
    </row>
    <row r="60" spans="1:7">
      <c r="A60" s="150">
        <v>46068</v>
      </c>
      <c r="B60" s="150">
        <v>46063</v>
      </c>
      <c r="C60" t="s">
        <v>159</v>
      </c>
      <c r="D60">
        <v>3110</v>
      </c>
      <c r="E60" t="s">
        <v>68</v>
      </c>
      <c r="F60">
        <v>500000</v>
      </c>
    </row>
    <row r="61" spans="1:7">
      <c r="A61" s="150">
        <v>46066</v>
      </c>
      <c r="B61" s="150">
        <v>46058</v>
      </c>
      <c r="C61" t="s">
        <v>187</v>
      </c>
      <c r="D61">
        <v>3110</v>
      </c>
      <c r="E61" t="s">
        <v>68</v>
      </c>
      <c r="F61">
        <v>10000000</v>
      </c>
    </row>
    <row r="62" spans="1:7">
      <c r="A62" s="150">
        <v>46054</v>
      </c>
      <c r="B62" s="150">
        <v>46057</v>
      </c>
      <c r="C62" t="s">
        <v>154</v>
      </c>
      <c r="D62">
        <v>3110</v>
      </c>
      <c r="E62" t="s">
        <v>68</v>
      </c>
      <c r="F62">
        <v>500000</v>
      </c>
    </row>
    <row r="63" spans="1:7">
      <c r="A63" s="150">
        <v>46053</v>
      </c>
      <c r="B63" s="150">
        <v>46049</v>
      </c>
      <c r="C63" t="s">
        <v>149</v>
      </c>
      <c r="D63">
        <v>3110</v>
      </c>
      <c r="E63" t="s">
        <v>68</v>
      </c>
      <c r="G63">
        <v>1200000</v>
      </c>
    </row>
    <row r="64" spans="1:7">
      <c r="A64" s="150">
        <v>46053</v>
      </c>
      <c r="B64" s="150">
        <v>46049</v>
      </c>
      <c r="C64" t="s">
        <v>148</v>
      </c>
      <c r="D64">
        <v>3110</v>
      </c>
      <c r="E64" t="s">
        <v>68</v>
      </c>
      <c r="G64">
        <v>112240</v>
      </c>
    </row>
    <row r="65" spans="1:7">
      <c r="A65" s="150">
        <v>46050</v>
      </c>
      <c r="B65" s="150">
        <v>46048</v>
      </c>
      <c r="C65" t="s">
        <v>147</v>
      </c>
      <c r="D65">
        <v>3110</v>
      </c>
      <c r="E65" t="s">
        <v>68</v>
      </c>
      <c r="G65">
        <v>300000</v>
      </c>
    </row>
    <row r="66" spans="1:7">
      <c r="A66" s="150">
        <v>46046</v>
      </c>
      <c r="B66" s="150">
        <v>46046</v>
      </c>
      <c r="C66" t="s">
        <v>146</v>
      </c>
      <c r="D66">
        <v>3110</v>
      </c>
      <c r="E66" t="s">
        <v>68</v>
      </c>
      <c r="G66">
        <v>50000</v>
      </c>
    </row>
    <row r="67" spans="1:7">
      <c r="A67" s="150">
        <v>46041</v>
      </c>
      <c r="B67" s="150">
        <v>46044</v>
      </c>
      <c r="C67" t="s">
        <v>110</v>
      </c>
      <c r="D67">
        <v>3110</v>
      </c>
      <c r="E67" t="s">
        <v>68</v>
      </c>
      <c r="F67">
        <v>1500000</v>
      </c>
    </row>
    <row r="68" spans="1:7">
      <c r="A68" s="150">
        <v>46039</v>
      </c>
      <c r="B68" s="150">
        <v>46043</v>
      </c>
      <c r="C68" t="s">
        <v>145</v>
      </c>
      <c r="D68">
        <v>3110</v>
      </c>
      <c r="E68" t="s">
        <v>68</v>
      </c>
      <c r="G68">
        <v>976360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18"/>
  <sheetViews>
    <sheetView workbookViewId="0">
      <selection activeCell="C13" sqref="C13:C18"/>
    </sheetView>
  </sheetViews>
  <sheetFormatPr defaultRowHeight="14.25"/>
  <cols>
    <col min="3" max="3" width="11.125" bestFit="1" customWidth="1"/>
  </cols>
  <sheetData>
    <row r="2" spans="2:6">
      <c r="B2">
        <v>3600</v>
      </c>
      <c r="C2" s="51">
        <v>20000</v>
      </c>
      <c r="E2">
        <f>C2*18%</f>
        <v>3600</v>
      </c>
      <c r="F2">
        <f>B2-E2</f>
        <v>0</v>
      </c>
    </row>
    <row r="3" spans="2:6">
      <c r="B3">
        <v>43200</v>
      </c>
      <c r="C3" s="51">
        <v>240000</v>
      </c>
      <c r="E3">
        <f t="shared" ref="E3:E18" si="0">C3*18%</f>
        <v>43200</v>
      </c>
      <c r="F3">
        <f t="shared" ref="F3:F18" si="1">B3-E3</f>
        <v>0</v>
      </c>
    </row>
    <row r="4" spans="2:6">
      <c r="B4">
        <v>7200</v>
      </c>
      <c r="C4" s="51">
        <v>40000</v>
      </c>
      <c r="E4">
        <f t="shared" si="0"/>
        <v>7200</v>
      </c>
      <c r="F4">
        <f t="shared" si="1"/>
        <v>0</v>
      </c>
    </row>
    <row r="5" spans="2:6">
      <c r="B5">
        <v>7200</v>
      </c>
      <c r="C5" s="51">
        <v>40000</v>
      </c>
      <c r="E5">
        <f t="shared" si="0"/>
        <v>7200</v>
      </c>
      <c r="F5">
        <f t="shared" si="1"/>
        <v>0</v>
      </c>
    </row>
    <row r="6" spans="2:6">
      <c r="B6">
        <v>2160</v>
      </c>
      <c r="C6" s="51">
        <v>12000</v>
      </c>
      <c r="E6">
        <f t="shared" si="0"/>
        <v>2160</v>
      </c>
      <c r="F6">
        <f t="shared" si="1"/>
        <v>0</v>
      </c>
    </row>
    <row r="7" spans="2:6">
      <c r="B7">
        <v>7200</v>
      </c>
      <c r="C7" s="51">
        <v>40000</v>
      </c>
      <c r="E7">
        <f t="shared" si="0"/>
        <v>7200</v>
      </c>
      <c r="F7">
        <f t="shared" si="1"/>
        <v>0</v>
      </c>
    </row>
    <row r="8" spans="2:6">
      <c r="B8">
        <v>14400</v>
      </c>
      <c r="C8" s="51">
        <v>80000</v>
      </c>
      <c r="E8">
        <f t="shared" si="0"/>
        <v>14400</v>
      </c>
      <c r="F8">
        <f t="shared" si="1"/>
        <v>0</v>
      </c>
    </row>
    <row r="9" spans="2:6">
      <c r="B9">
        <v>2520</v>
      </c>
      <c r="C9" s="51">
        <v>14000</v>
      </c>
      <c r="E9">
        <f t="shared" si="0"/>
        <v>2520</v>
      </c>
      <c r="F9">
        <f t="shared" si="1"/>
        <v>0</v>
      </c>
    </row>
    <row r="10" spans="2:6">
      <c r="B10">
        <v>3600</v>
      </c>
      <c r="C10" s="51">
        <v>20000</v>
      </c>
      <c r="E10">
        <f t="shared" si="0"/>
        <v>3600</v>
      </c>
      <c r="F10">
        <f t="shared" si="1"/>
        <v>0</v>
      </c>
    </row>
    <row r="11" spans="2:6">
      <c r="B11">
        <v>6480</v>
      </c>
      <c r="C11" s="51">
        <v>36000</v>
      </c>
      <c r="E11">
        <f t="shared" si="0"/>
        <v>6480</v>
      </c>
      <c r="F11">
        <f t="shared" si="1"/>
        <v>0</v>
      </c>
    </row>
    <row r="12" spans="2:6">
      <c r="C12" s="51"/>
    </row>
    <row r="13" spans="2:6">
      <c r="B13">
        <v>7200</v>
      </c>
      <c r="C13" s="51">
        <v>40000</v>
      </c>
      <c r="E13">
        <f t="shared" si="0"/>
        <v>7200</v>
      </c>
      <c r="F13">
        <f t="shared" si="1"/>
        <v>0</v>
      </c>
    </row>
    <row r="14" spans="2:6">
      <c r="B14">
        <v>3600</v>
      </c>
      <c r="C14" s="51">
        <v>20000</v>
      </c>
      <c r="E14">
        <f t="shared" si="0"/>
        <v>3600</v>
      </c>
      <c r="F14">
        <f t="shared" si="1"/>
        <v>0</v>
      </c>
    </row>
    <row r="15" spans="2:6">
      <c r="B15">
        <v>3600</v>
      </c>
      <c r="C15" s="51">
        <v>20000</v>
      </c>
      <c r="E15">
        <f t="shared" si="0"/>
        <v>3600</v>
      </c>
      <c r="F15">
        <f t="shared" si="1"/>
        <v>0</v>
      </c>
    </row>
    <row r="16" spans="2:6">
      <c r="B16">
        <v>7200</v>
      </c>
      <c r="C16" s="51">
        <v>40000</v>
      </c>
      <c r="E16">
        <f t="shared" si="0"/>
        <v>7200</v>
      </c>
      <c r="F16">
        <f t="shared" si="1"/>
        <v>0</v>
      </c>
    </row>
    <row r="17" spans="2:6">
      <c r="B17">
        <v>10800</v>
      </c>
      <c r="C17" s="51">
        <v>60000</v>
      </c>
      <c r="E17">
        <f t="shared" si="0"/>
        <v>10800</v>
      </c>
      <c r="F17">
        <f t="shared" si="1"/>
        <v>0</v>
      </c>
    </row>
    <row r="18" spans="2:6">
      <c r="B18">
        <v>1080</v>
      </c>
      <c r="C18" s="51">
        <v>6000</v>
      </c>
      <c r="E18">
        <f t="shared" si="0"/>
        <v>1080</v>
      </c>
      <c r="F18">
        <f t="shared" si="1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8"/>
  <sheetViews>
    <sheetView workbookViewId="0">
      <selection activeCell="G2" sqref="G2:G18"/>
    </sheetView>
  </sheetViews>
  <sheetFormatPr defaultRowHeight="14.25"/>
  <cols>
    <col min="1" max="2" width="9.875" bestFit="1" customWidth="1"/>
    <col min="3" max="3" width="41.125" customWidth="1"/>
    <col min="4" max="4" width="14.75" customWidth="1"/>
    <col min="5" max="5" width="15.625" customWidth="1"/>
    <col min="8" max="8" width="34.125" bestFit="1" customWidth="1"/>
  </cols>
  <sheetData>
    <row r="1" spans="1:8">
      <c r="A1" t="s">
        <v>61</v>
      </c>
      <c r="B1" t="s">
        <v>60</v>
      </c>
      <c r="C1" t="s">
        <v>66</v>
      </c>
      <c r="D1" t="s">
        <v>62</v>
      </c>
      <c r="E1" t="s">
        <v>63</v>
      </c>
      <c r="F1" t="s">
        <v>64</v>
      </c>
      <c r="G1" t="s">
        <v>65</v>
      </c>
      <c r="H1" t="s">
        <v>299</v>
      </c>
    </row>
    <row r="2" spans="1:8">
      <c r="A2" s="150">
        <v>46113</v>
      </c>
      <c r="B2" s="150">
        <v>46114</v>
      </c>
      <c r="C2" t="s">
        <v>201</v>
      </c>
      <c r="D2">
        <v>2530</v>
      </c>
      <c r="E2" t="s">
        <v>104</v>
      </c>
      <c r="G2">
        <v>3600</v>
      </c>
      <c r="H2" t="s">
        <v>298</v>
      </c>
    </row>
    <row r="3" spans="1:8">
      <c r="A3" s="150">
        <v>46114</v>
      </c>
      <c r="B3" s="150">
        <v>46136</v>
      </c>
      <c r="C3" t="s">
        <v>224</v>
      </c>
      <c r="D3">
        <v>2530</v>
      </c>
      <c r="E3" t="s">
        <v>104</v>
      </c>
      <c r="G3">
        <v>43200</v>
      </c>
      <c r="H3" t="s">
        <v>300</v>
      </c>
    </row>
    <row r="4" spans="1:8">
      <c r="A4" s="150">
        <v>46116</v>
      </c>
      <c r="B4" s="150">
        <v>46127</v>
      </c>
      <c r="C4" t="s">
        <v>217</v>
      </c>
      <c r="D4">
        <v>2530</v>
      </c>
      <c r="E4" t="s">
        <v>104</v>
      </c>
      <c r="G4">
        <v>7200</v>
      </c>
      <c r="H4" t="s">
        <v>309</v>
      </c>
    </row>
    <row r="5" spans="1:8">
      <c r="A5" s="150">
        <v>46117</v>
      </c>
      <c r="B5" s="150">
        <v>46120</v>
      </c>
      <c r="C5" t="s">
        <v>207</v>
      </c>
      <c r="D5">
        <v>2530</v>
      </c>
      <c r="E5" t="s">
        <v>104</v>
      </c>
      <c r="G5">
        <v>7200</v>
      </c>
      <c r="H5" t="s">
        <v>301</v>
      </c>
    </row>
    <row r="6" spans="1:8">
      <c r="A6" s="150">
        <v>46117</v>
      </c>
      <c r="B6" s="150">
        <v>46114</v>
      </c>
      <c r="C6" t="s">
        <v>206</v>
      </c>
      <c r="D6">
        <v>2530</v>
      </c>
      <c r="E6" t="s">
        <v>104</v>
      </c>
      <c r="G6">
        <v>2160</v>
      </c>
      <c r="H6" t="s">
        <v>302</v>
      </c>
    </row>
    <row r="7" spans="1:8">
      <c r="A7" s="150">
        <v>46124</v>
      </c>
      <c r="B7" s="150">
        <v>46140</v>
      </c>
      <c r="C7" t="s">
        <v>227</v>
      </c>
      <c r="D7">
        <v>2530</v>
      </c>
      <c r="E7" t="s">
        <v>104</v>
      </c>
      <c r="G7">
        <v>7200</v>
      </c>
      <c r="H7" t="s">
        <v>303</v>
      </c>
    </row>
    <row r="8" spans="1:8">
      <c r="A8" s="150">
        <v>46125</v>
      </c>
      <c r="B8" s="150">
        <v>46121</v>
      </c>
      <c r="C8" t="s">
        <v>211</v>
      </c>
      <c r="D8">
        <v>2530</v>
      </c>
      <c r="E8" t="s">
        <v>104</v>
      </c>
      <c r="G8">
        <v>14400</v>
      </c>
      <c r="H8" t="s">
        <v>304</v>
      </c>
    </row>
    <row r="9" spans="1:8">
      <c r="A9" s="150">
        <v>46128</v>
      </c>
      <c r="B9" s="150">
        <v>46132</v>
      </c>
      <c r="C9" t="s">
        <v>219</v>
      </c>
      <c r="D9">
        <v>2530</v>
      </c>
      <c r="E9" t="s">
        <v>104</v>
      </c>
      <c r="G9">
        <v>2520</v>
      </c>
      <c r="H9" t="s">
        <v>305</v>
      </c>
    </row>
    <row r="10" spans="1:8">
      <c r="A10" s="150">
        <v>46136</v>
      </c>
      <c r="B10" s="150">
        <v>46134</v>
      </c>
      <c r="C10" t="s">
        <v>221</v>
      </c>
      <c r="D10">
        <v>2530</v>
      </c>
      <c r="E10" t="s">
        <v>104</v>
      </c>
      <c r="G10">
        <v>3600</v>
      </c>
      <c r="H10" t="s">
        <v>310</v>
      </c>
    </row>
    <row r="11" spans="1:8">
      <c r="A11" s="150">
        <v>46142</v>
      </c>
      <c r="B11" s="150">
        <v>46125</v>
      </c>
      <c r="C11" t="s">
        <v>213</v>
      </c>
      <c r="D11">
        <v>2530</v>
      </c>
      <c r="E11" t="s">
        <v>104</v>
      </c>
      <c r="G11">
        <v>6480</v>
      </c>
      <c r="H11" t="s">
        <v>306</v>
      </c>
    </row>
    <row r="12" spans="1:8">
      <c r="A12" s="150">
        <v>46144</v>
      </c>
      <c r="B12" s="150">
        <v>46148</v>
      </c>
      <c r="C12" t="s">
        <v>232</v>
      </c>
      <c r="D12">
        <v>2530</v>
      </c>
      <c r="E12" t="s">
        <v>104</v>
      </c>
      <c r="F12">
        <v>76271</v>
      </c>
    </row>
    <row r="13" spans="1:8">
      <c r="A13" s="150">
        <v>46148</v>
      </c>
      <c r="B13" s="150">
        <v>46148</v>
      </c>
      <c r="C13" t="s">
        <v>233</v>
      </c>
      <c r="D13">
        <v>2530</v>
      </c>
      <c r="E13" t="s">
        <v>104</v>
      </c>
      <c r="G13">
        <v>7200</v>
      </c>
      <c r="H13" t="s">
        <v>311</v>
      </c>
    </row>
    <row r="14" spans="1:8">
      <c r="A14" s="150">
        <v>46151</v>
      </c>
      <c r="B14" s="150">
        <v>46150</v>
      </c>
      <c r="C14" t="s">
        <v>239</v>
      </c>
      <c r="D14">
        <v>2530</v>
      </c>
      <c r="E14" t="s">
        <v>104</v>
      </c>
      <c r="G14">
        <v>3600</v>
      </c>
      <c r="H14" t="s">
        <v>291</v>
      </c>
    </row>
    <row r="15" spans="1:8">
      <c r="A15" s="150">
        <v>46173</v>
      </c>
      <c r="B15" s="150">
        <v>46164</v>
      </c>
      <c r="C15" t="s">
        <v>159</v>
      </c>
      <c r="D15">
        <v>2530</v>
      </c>
      <c r="E15" t="s">
        <v>104</v>
      </c>
      <c r="G15">
        <v>3600</v>
      </c>
      <c r="H15" t="s">
        <v>298</v>
      </c>
    </row>
    <row r="16" spans="1:8">
      <c r="A16" s="150">
        <v>46178</v>
      </c>
      <c r="B16" s="150">
        <v>46178</v>
      </c>
      <c r="C16" t="s">
        <v>255</v>
      </c>
      <c r="D16">
        <v>2530</v>
      </c>
      <c r="E16" t="s">
        <v>104</v>
      </c>
      <c r="G16">
        <v>7200</v>
      </c>
      <c r="H16" t="s">
        <v>307</v>
      </c>
    </row>
    <row r="17" spans="1:8">
      <c r="A17" s="150">
        <v>46178</v>
      </c>
      <c r="B17" s="150">
        <v>46178</v>
      </c>
      <c r="C17" t="s">
        <v>254</v>
      </c>
      <c r="D17">
        <v>2530</v>
      </c>
      <c r="E17" t="s">
        <v>104</v>
      </c>
      <c r="G17">
        <v>10800</v>
      </c>
      <c r="H17" t="s">
        <v>308</v>
      </c>
    </row>
    <row r="18" spans="1:8">
      <c r="A18" s="150">
        <v>46203</v>
      </c>
      <c r="B18" s="150">
        <v>46184</v>
      </c>
      <c r="C18" t="s">
        <v>260</v>
      </c>
      <c r="D18">
        <v>2530</v>
      </c>
      <c r="E18" t="s">
        <v>104</v>
      </c>
      <c r="G18">
        <v>1080</v>
      </c>
      <c r="H18" s="159" t="s">
        <v>312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4"/>
  <sheetViews>
    <sheetView tabSelected="1" workbookViewId="0">
      <selection activeCell="I16" sqref="I16"/>
    </sheetView>
  </sheetViews>
  <sheetFormatPr defaultRowHeight="14.25"/>
  <cols>
    <col min="1" max="2" width="9.875" bestFit="1" customWidth="1"/>
    <col min="3" max="3" width="19.5" customWidth="1"/>
    <col min="4" max="4" width="14.75" customWidth="1"/>
    <col min="5" max="5" width="15.625" customWidth="1"/>
  </cols>
  <sheetData>
    <row r="1" spans="1:9">
      <c r="A1" s="160" t="s">
        <v>61</v>
      </c>
      <c r="B1" s="161" t="s">
        <v>60</v>
      </c>
      <c r="C1" s="161" t="s">
        <v>66</v>
      </c>
      <c r="D1" s="161" t="s">
        <v>62</v>
      </c>
      <c r="E1" s="161" t="s">
        <v>63</v>
      </c>
      <c r="F1" s="161" t="s">
        <v>64</v>
      </c>
      <c r="G1" s="162" t="s">
        <v>65</v>
      </c>
    </row>
    <row r="2" spans="1:9">
      <c r="A2" s="167">
        <v>46023</v>
      </c>
      <c r="B2" s="168">
        <v>46023</v>
      </c>
      <c r="C2" s="169"/>
      <c r="D2" s="169">
        <v>2530</v>
      </c>
      <c r="E2" s="169" t="s">
        <v>104</v>
      </c>
      <c r="F2" s="169"/>
      <c r="G2" s="177">
        <v>91489</v>
      </c>
    </row>
    <row r="3" spans="1:9">
      <c r="A3" s="163">
        <v>46036</v>
      </c>
      <c r="B3" s="164">
        <v>46041</v>
      </c>
      <c r="C3" s="165" t="s">
        <v>144</v>
      </c>
      <c r="D3" s="165">
        <v>2530</v>
      </c>
      <c r="E3" s="165" t="s">
        <v>104</v>
      </c>
      <c r="F3" s="165">
        <v>76271</v>
      </c>
      <c r="G3" s="166"/>
    </row>
    <row r="4" spans="1:9">
      <c r="A4" s="167">
        <v>46044</v>
      </c>
      <c r="B4" s="168">
        <v>46044</v>
      </c>
      <c r="C4" s="169" t="s">
        <v>110</v>
      </c>
      <c r="D4" s="169">
        <v>2530</v>
      </c>
      <c r="E4" s="169" t="s">
        <v>104</v>
      </c>
      <c r="F4" s="169"/>
      <c r="G4" s="170">
        <v>10800</v>
      </c>
    </row>
    <row r="5" spans="1:9">
      <c r="A5" s="163">
        <v>46046</v>
      </c>
      <c r="B5" s="164">
        <v>46034</v>
      </c>
      <c r="C5" s="165" t="s">
        <v>136</v>
      </c>
      <c r="D5" s="165">
        <v>2530</v>
      </c>
      <c r="E5" s="165" t="s">
        <v>104</v>
      </c>
      <c r="F5" s="165"/>
      <c r="G5" s="166">
        <v>14400</v>
      </c>
    </row>
    <row r="6" spans="1:9">
      <c r="A6" s="167">
        <v>46051</v>
      </c>
      <c r="B6" s="168">
        <v>46037</v>
      </c>
      <c r="C6" s="169" t="s">
        <v>141</v>
      </c>
      <c r="D6" s="169">
        <v>2530</v>
      </c>
      <c r="E6" s="169" t="s">
        <v>104</v>
      </c>
      <c r="F6" s="176">
        <v>91489</v>
      </c>
      <c r="G6" s="170"/>
    </row>
    <row r="7" spans="1:9">
      <c r="A7" s="163">
        <v>46054</v>
      </c>
      <c r="B7" s="164">
        <v>46057</v>
      </c>
      <c r="C7" s="165" t="s">
        <v>154</v>
      </c>
      <c r="D7" s="165">
        <v>2530</v>
      </c>
      <c r="E7" s="165" t="s">
        <v>104</v>
      </c>
      <c r="F7" s="165"/>
      <c r="G7" s="166">
        <v>3600</v>
      </c>
    </row>
    <row r="8" spans="1:9">
      <c r="A8" s="167">
        <v>46066</v>
      </c>
      <c r="B8" s="168">
        <v>46058</v>
      </c>
      <c r="C8" s="169" t="s">
        <v>187</v>
      </c>
      <c r="D8" s="169">
        <v>2530</v>
      </c>
      <c r="E8" s="169" t="s">
        <v>104</v>
      </c>
      <c r="F8" s="169"/>
      <c r="G8" s="170">
        <v>72000</v>
      </c>
    </row>
    <row r="9" spans="1:9">
      <c r="A9" s="163">
        <v>46071</v>
      </c>
      <c r="B9" s="164">
        <v>46063</v>
      </c>
      <c r="C9" s="165" t="s">
        <v>159</v>
      </c>
      <c r="D9" s="165">
        <v>2530</v>
      </c>
      <c r="E9" s="165" t="s">
        <v>104</v>
      </c>
      <c r="F9" s="165"/>
      <c r="G9" s="166">
        <v>3600</v>
      </c>
    </row>
    <row r="10" spans="1:9">
      <c r="A10" s="167">
        <v>46080</v>
      </c>
      <c r="B10" s="168">
        <v>46066</v>
      </c>
      <c r="C10" s="169" t="s">
        <v>160</v>
      </c>
      <c r="D10" s="169">
        <v>2530</v>
      </c>
      <c r="E10" s="169" t="s">
        <v>104</v>
      </c>
      <c r="F10" s="169"/>
      <c r="G10" s="170">
        <v>18000</v>
      </c>
    </row>
    <row r="11" spans="1:9">
      <c r="A11" s="167">
        <v>46081</v>
      </c>
      <c r="B11" s="168">
        <v>46066</v>
      </c>
      <c r="C11" s="169" t="s">
        <v>161</v>
      </c>
      <c r="D11" s="169">
        <v>2530</v>
      </c>
      <c r="E11" s="169" t="s">
        <v>104</v>
      </c>
      <c r="F11" s="169"/>
      <c r="G11" s="170">
        <v>14400</v>
      </c>
    </row>
    <row r="12" spans="1:9">
      <c r="A12" s="163">
        <v>46081</v>
      </c>
      <c r="B12" s="164">
        <v>46066</v>
      </c>
      <c r="C12" s="165" t="s">
        <v>95</v>
      </c>
      <c r="D12" s="165">
        <v>2530</v>
      </c>
      <c r="E12" s="165" t="s">
        <v>104</v>
      </c>
      <c r="F12" s="165"/>
      <c r="G12" s="166">
        <v>10800</v>
      </c>
    </row>
    <row r="13" spans="1:9">
      <c r="A13" s="163">
        <v>46096</v>
      </c>
      <c r="B13" s="164">
        <v>46086</v>
      </c>
      <c r="C13" s="165" t="s">
        <v>176</v>
      </c>
      <c r="D13" s="165">
        <v>2530</v>
      </c>
      <c r="E13" s="165" t="s">
        <v>104</v>
      </c>
      <c r="F13" s="165">
        <v>76271</v>
      </c>
      <c r="G13" s="166"/>
    </row>
    <row r="14" spans="1:9">
      <c r="A14" s="167">
        <v>46098</v>
      </c>
      <c r="B14" s="168">
        <v>46090</v>
      </c>
      <c r="C14" s="169" t="s">
        <v>178</v>
      </c>
      <c r="D14" s="169">
        <v>2530</v>
      </c>
      <c r="E14" s="169" t="s">
        <v>104</v>
      </c>
      <c r="F14" s="169"/>
      <c r="G14" s="170">
        <v>3600</v>
      </c>
    </row>
    <row r="15" spans="1:9">
      <c r="A15" s="163">
        <v>46107</v>
      </c>
      <c r="B15" s="164">
        <v>46111</v>
      </c>
      <c r="C15" s="165" t="s">
        <v>183</v>
      </c>
      <c r="D15" s="165">
        <v>2530</v>
      </c>
      <c r="E15" s="165" t="s">
        <v>104</v>
      </c>
      <c r="F15" s="165"/>
      <c r="G15" s="166">
        <v>3600</v>
      </c>
    </row>
    <row r="16" spans="1:9" s="175" customFormat="1">
      <c r="A16" s="171">
        <v>46109</v>
      </c>
      <c r="B16" s="172">
        <v>46112</v>
      </c>
      <c r="C16" s="173" t="s">
        <v>186</v>
      </c>
      <c r="D16" s="173">
        <v>2530</v>
      </c>
      <c r="E16" s="173" t="s">
        <v>104</v>
      </c>
      <c r="F16" s="173"/>
      <c r="G16" s="174">
        <v>11520</v>
      </c>
      <c r="I16" s="175">
        <f>SUM(G3:G16)</f>
        <v>166320</v>
      </c>
    </row>
    <row r="17" spans="1:7">
      <c r="A17" s="163">
        <v>46113</v>
      </c>
      <c r="B17" s="164">
        <v>46114</v>
      </c>
      <c r="C17" s="165" t="s">
        <v>201</v>
      </c>
      <c r="D17" s="165">
        <v>2530</v>
      </c>
      <c r="E17" s="165" t="s">
        <v>104</v>
      </c>
      <c r="F17" s="165"/>
      <c r="G17" s="166">
        <v>3600</v>
      </c>
    </row>
    <row r="18" spans="1:7">
      <c r="A18" s="163">
        <v>46114</v>
      </c>
      <c r="B18" s="164">
        <v>46136</v>
      </c>
      <c r="C18" s="165" t="s">
        <v>224</v>
      </c>
      <c r="D18" s="165">
        <v>2530</v>
      </c>
      <c r="E18" s="165" t="s">
        <v>104</v>
      </c>
      <c r="F18" s="165"/>
      <c r="G18" s="166">
        <v>43200</v>
      </c>
    </row>
    <row r="19" spans="1:7">
      <c r="A19" s="167">
        <v>46116</v>
      </c>
      <c r="B19" s="168">
        <v>46127</v>
      </c>
      <c r="C19" s="169" t="s">
        <v>217</v>
      </c>
      <c r="D19" s="169">
        <v>2530</v>
      </c>
      <c r="E19" s="169" t="s">
        <v>104</v>
      </c>
      <c r="F19" s="169"/>
      <c r="G19" s="170">
        <v>7200</v>
      </c>
    </row>
    <row r="20" spans="1:7">
      <c r="A20" s="163">
        <v>46117</v>
      </c>
      <c r="B20" s="164">
        <v>46120</v>
      </c>
      <c r="C20" s="165" t="s">
        <v>207</v>
      </c>
      <c r="D20" s="165">
        <v>2530</v>
      </c>
      <c r="E20" s="165" t="s">
        <v>104</v>
      </c>
      <c r="F20" s="165"/>
      <c r="G20" s="166">
        <v>7200</v>
      </c>
    </row>
    <row r="21" spans="1:7">
      <c r="A21" s="167">
        <v>46117</v>
      </c>
      <c r="B21" s="168">
        <v>46114</v>
      </c>
      <c r="C21" s="169" t="s">
        <v>206</v>
      </c>
      <c r="D21" s="169">
        <v>2530</v>
      </c>
      <c r="E21" s="169" t="s">
        <v>104</v>
      </c>
      <c r="F21" s="169"/>
      <c r="G21" s="170">
        <v>2160</v>
      </c>
    </row>
    <row r="22" spans="1:7">
      <c r="A22" s="163">
        <v>46119</v>
      </c>
      <c r="B22" s="164">
        <v>46127</v>
      </c>
      <c r="C22" s="165" t="s">
        <v>218</v>
      </c>
      <c r="D22" s="165">
        <v>2530</v>
      </c>
      <c r="E22" s="165" t="s">
        <v>104</v>
      </c>
      <c r="F22" s="165">
        <v>41235</v>
      </c>
      <c r="G22" s="166"/>
    </row>
    <row r="23" spans="1:7">
      <c r="A23" s="167">
        <v>46124</v>
      </c>
      <c r="B23" s="168">
        <v>46140</v>
      </c>
      <c r="C23" s="169" t="s">
        <v>227</v>
      </c>
      <c r="D23" s="169">
        <v>2530</v>
      </c>
      <c r="E23" s="169" t="s">
        <v>104</v>
      </c>
      <c r="F23" s="169"/>
      <c r="G23" s="170">
        <v>7200</v>
      </c>
    </row>
    <row r="24" spans="1:7">
      <c r="A24" s="167">
        <v>46125</v>
      </c>
      <c r="B24" s="168">
        <v>46121</v>
      </c>
      <c r="C24" s="169" t="s">
        <v>211</v>
      </c>
      <c r="D24" s="169">
        <v>2530</v>
      </c>
      <c r="E24" s="169" t="s">
        <v>104</v>
      </c>
      <c r="F24" s="169"/>
      <c r="G24" s="170">
        <v>14400</v>
      </c>
    </row>
    <row r="25" spans="1:7">
      <c r="A25" s="163">
        <v>46128</v>
      </c>
      <c r="B25" s="164">
        <v>46132</v>
      </c>
      <c r="C25" s="165" t="s">
        <v>219</v>
      </c>
      <c r="D25" s="165">
        <v>2530</v>
      </c>
      <c r="E25" s="165" t="s">
        <v>104</v>
      </c>
      <c r="F25" s="165"/>
      <c r="G25" s="166">
        <v>2520</v>
      </c>
    </row>
    <row r="26" spans="1:7">
      <c r="A26" s="167">
        <v>46136</v>
      </c>
      <c r="B26" s="168">
        <v>46134</v>
      </c>
      <c r="C26" s="169" t="s">
        <v>221</v>
      </c>
      <c r="D26" s="169">
        <v>2530</v>
      </c>
      <c r="E26" s="169" t="s">
        <v>104</v>
      </c>
      <c r="F26" s="169"/>
      <c r="G26" s="170">
        <v>3600</v>
      </c>
    </row>
    <row r="27" spans="1:7">
      <c r="A27" s="163">
        <v>46142</v>
      </c>
      <c r="B27" s="164">
        <v>46125</v>
      </c>
      <c r="C27" s="165" t="s">
        <v>213</v>
      </c>
      <c r="D27" s="165">
        <v>2530</v>
      </c>
      <c r="E27" s="165" t="s">
        <v>104</v>
      </c>
      <c r="F27" s="165"/>
      <c r="G27" s="166">
        <v>6480</v>
      </c>
    </row>
    <row r="28" spans="1:7">
      <c r="A28" s="163">
        <v>46144</v>
      </c>
      <c r="B28" s="164">
        <v>46148</v>
      </c>
      <c r="C28" s="165" t="s">
        <v>232</v>
      </c>
      <c r="D28" s="165">
        <v>2530</v>
      </c>
      <c r="E28" s="165" t="s">
        <v>104</v>
      </c>
      <c r="F28" s="165">
        <v>76271</v>
      </c>
      <c r="G28" s="166"/>
    </row>
    <row r="29" spans="1:7">
      <c r="A29" s="167">
        <v>46148</v>
      </c>
      <c r="B29" s="168">
        <v>46148</v>
      </c>
      <c r="C29" s="169" t="s">
        <v>233</v>
      </c>
      <c r="D29" s="169">
        <v>2530</v>
      </c>
      <c r="E29" s="169" t="s">
        <v>104</v>
      </c>
      <c r="F29" s="169"/>
      <c r="G29" s="170">
        <v>7200</v>
      </c>
    </row>
    <row r="30" spans="1:7">
      <c r="A30" s="163">
        <v>46151</v>
      </c>
      <c r="B30" s="164">
        <v>46150</v>
      </c>
      <c r="C30" s="165" t="s">
        <v>239</v>
      </c>
      <c r="D30" s="165">
        <v>2530</v>
      </c>
      <c r="E30" s="165" t="s">
        <v>104</v>
      </c>
      <c r="F30" s="165"/>
      <c r="G30" s="166">
        <v>3600</v>
      </c>
    </row>
    <row r="31" spans="1:7">
      <c r="A31" s="167">
        <v>46173</v>
      </c>
      <c r="B31" s="168">
        <v>46164</v>
      </c>
      <c r="C31" s="169" t="s">
        <v>159</v>
      </c>
      <c r="D31" s="169">
        <v>2530</v>
      </c>
      <c r="E31" s="169" t="s">
        <v>104</v>
      </c>
      <c r="F31" s="169"/>
      <c r="G31" s="170">
        <v>3600</v>
      </c>
    </row>
    <row r="32" spans="1:7">
      <c r="A32" s="167">
        <v>46178</v>
      </c>
      <c r="B32" s="168">
        <v>46178</v>
      </c>
      <c r="C32" s="169" t="s">
        <v>255</v>
      </c>
      <c r="D32" s="169">
        <v>2530</v>
      </c>
      <c r="E32" s="169" t="s">
        <v>104</v>
      </c>
      <c r="F32" s="169"/>
      <c r="G32" s="170">
        <v>7200</v>
      </c>
    </row>
    <row r="33" spans="1:7">
      <c r="A33" s="163">
        <v>46178</v>
      </c>
      <c r="B33" s="164">
        <v>46178</v>
      </c>
      <c r="C33" s="165" t="s">
        <v>254</v>
      </c>
      <c r="D33" s="165">
        <v>2530</v>
      </c>
      <c r="E33" s="165" t="s">
        <v>104</v>
      </c>
      <c r="F33" s="165"/>
      <c r="G33" s="166">
        <v>10800</v>
      </c>
    </row>
    <row r="34" spans="1:7">
      <c r="A34" s="155">
        <v>46203</v>
      </c>
      <c r="B34" s="156">
        <v>46184</v>
      </c>
      <c r="C34" s="157" t="s">
        <v>260</v>
      </c>
      <c r="D34" s="157">
        <v>2530</v>
      </c>
      <c r="E34" s="157" t="s">
        <v>104</v>
      </c>
      <c r="F34" s="157"/>
      <c r="G34" s="158">
        <v>1080</v>
      </c>
    </row>
  </sheetData>
  <sortState ref="A2:G34">
    <sortCondition ref="A2:A3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8"/>
  <sheetViews>
    <sheetView topLeftCell="A17" workbookViewId="0">
      <selection activeCell="D27" sqref="D27"/>
    </sheetView>
  </sheetViews>
  <sheetFormatPr defaultRowHeight="14.25"/>
  <cols>
    <col min="2" max="2" width="34.375" bestFit="1" customWidth="1"/>
    <col min="3" max="3" width="11.75" bestFit="1" customWidth="1"/>
    <col min="4" max="4" width="12.375" bestFit="1" customWidth="1"/>
    <col min="5" max="5" width="13.5" bestFit="1" customWidth="1"/>
  </cols>
  <sheetData>
    <row r="2" spans="2:5">
      <c r="B2" s="147" t="s">
        <v>195</v>
      </c>
      <c r="C2" t="s">
        <v>197</v>
      </c>
      <c r="D2" t="s">
        <v>198</v>
      </c>
    </row>
    <row r="3" spans="2:5">
      <c r="B3" s="148" t="s">
        <v>13</v>
      </c>
      <c r="C3" s="149">
        <v>4679513.4000000004</v>
      </c>
      <c r="D3" s="149">
        <v>2934720</v>
      </c>
    </row>
    <row r="4" spans="2:5">
      <c r="B4" s="148" t="s">
        <v>21</v>
      </c>
      <c r="C4" s="149"/>
      <c r="D4" s="149">
        <v>500000</v>
      </c>
    </row>
    <row r="5" spans="2:5">
      <c r="B5" s="148" t="s">
        <v>12</v>
      </c>
      <c r="C5" s="149">
        <v>51176899</v>
      </c>
      <c r="D5" s="149">
        <v>49635095</v>
      </c>
    </row>
    <row r="6" spans="2:5">
      <c r="B6" s="148" t="s">
        <v>67</v>
      </c>
      <c r="C6" s="149">
        <v>71530</v>
      </c>
      <c r="D6" s="149"/>
    </row>
    <row r="7" spans="2:5">
      <c r="B7" s="148" t="s">
        <v>11</v>
      </c>
      <c r="C7" s="149">
        <v>391000</v>
      </c>
      <c r="D7" s="149">
        <v>391000</v>
      </c>
    </row>
    <row r="8" spans="2:5">
      <c r="B8" s="148" t="s">
        <v>83</v>
      </c>
      <c r="C8" s="149">
        <v>250000</v>
      </c>
      <c r="D8" s="149"/>
    </row>
    <row r="9" spans="2:5">
      <c r="B9" s="148" t="s">
        <v>99</v>
      </c>
      <c r="C9" s="149">
        <v>10638</v>
      </c>
      <c r="D9" s="149">
        <v>12411</v>
      </c>
    </row>
    <row r="10" spans="2:5">
      <c r="B10" s="148" t="s">
        <v>51</v>
      </c>
      <c r="C10" s="149"/>
      <c r="D10" s="149">
        <v>1652000</v>
      </c>
    </row>
    <row r="11" spans="2:5">
      <c r="B11" s="148" t="s">
        <v>50</v>
      </c>
      <c r="C11" s="149"/>
      <c r="D11" s="149">
        <v>6487353.4000000004</v>
      </c>
    </row>
    <row r="12" spans="2:5">
      <c r="B12" s="148" t="s">
        <v>68</v>
      </c>
      <c r="C12" s="149">
        <v>61226760</v>
      </c>
      <c r="D12" s="149">
        <v>31639308</v>
      </c>
      <c r="E12" s="51"/>
    </row>
    <row r="13" spans="2:5">
      <c r="B13" s="148" t="s">
        <v>97</v>
      </c>
      <c r="C13" s="149">
        <v>18000</v>
      </c>
      <c r="D13" s="149">
        <v>21000</v>
      </c>
    </row>
    <row r="14" spans="2:5">
      <c r="B14" s="148" t="s">
        <v>48</v>
      </c>
      <c r="C14" s="149">
        <v>391000</v>
      </c>
      <c r="D14" s="149"/>
    </row>
    <row r="15" spans="2:5">
      <c r="B15" s="148" t="s">
        <v>102</v>
      </c>
      <c r="C15" s="149">
        <v>1271187</v>
      </c>
      <c r="D15" s="149"/>
    </row>
    <row r="16" spans="2:5">
      <c r="B16" s="148" t="s">
        <v>1</v>
      </c>
      <c r="C16" s="149"/>
      <c r="D16" s="149">
        <v>30000000</v>
      </c>
    </row>
    <row r="17" spans="2:5">
      <c r="B17" s="148" t="s">
        <v>96</v>
      </c>
      <c r="C17" s="149">
        <v>73370</v>
      </c>
      <c r="D17" s="149"/>
    </row>
    <row r="18" spans="2:5">
      <c r="B18" s="148" t="s">
        <v>71</v>
      </c>
      <c r="C18" s="149">
        <v>634000</v>
      </c>
      <c r="D18" s="149">
        <v>798000</v>
      </c>
    </row>
    <row r="19" spans="2:5">
      <c r="B19" s="148" t="s">
        <v>98</v>
      </c>
      <c r="C19" s="149">
        <v>420000</v>
      </c>
      <c r="D19" s="149">
        <v>490000</v>
      </c>
    </row>
    <row r="20" spans="2:5">
      <c r="B20" s="148" t="s">
        <v>14</v>
      </c>
      <c r="C20" s="149">
        <v>722262</v>
      </c>
      <c r="D20" s="149">
        <v>635592</v>
      </c>
    </row>
    <row r="21" spans="2:5">
      <c r="B21" s="148" t="s">
        <v>20</v>
      </c>
      <c r="C21" s="149">
        <v>2500000</v>
      </c>
      <c r="D21" s="149"/>
    </row>
    <row r="22" spans="2:5">
      <c r="B22" s="148" t="s">
        <v>5</v>
      </c>
      <c r="C22" s="149"/>
      <c r="D22" s="149">
        <v>1861374</v>
      </c>
    </row>
    <row r="23" spans="2:5">
      <c r="B23" s="148" t="s">
        <v>38</v>
      </c>
      <c r="C23" s="149">
        <v>3249006</v>
      </c>
      <c r="D23" s="149"/>
    </row>
    <row r="24" spans="2:5">
      <c r="B24" s="148" t="s">
        <v>100</v>
      </c>
      <c r="C24" s="149">
        <v>2116368</v>
      </c>
      <c r="D24" s="149">
        <v>2116368</v>
      </c>
    </row>
    <row r="25" spans="2:5">
      <c r="B25" s="148" t="s">
        <v>59</v>
      </c>
      <c r="C25" s="149">
        <v>2750000</v>
      </c>
      <c r="D25" s="149">
        <v>2750000</v>
      </c>
    </row>
    <row r="26" spans="2:5">
      <c r="B26" s="148" t="s">
        <v>189</v>
      </c>
      <c r="C26" s="149">
        <v>204165</v>
      </c>
      <c r="D26" s="149">
        <v>204165</v>
      </c>
    </row>
    <row r="27" spans="2:5">
      <c r="B27" s="148" t="s">
        <v>104</v>
      </c>
      <c r="C27" s="149">
        <v>361537</v>
      </c>
      <c r="D27" s="149">
        <v>388849</v>
      </c>
      <c r="E27" s="30">
        <f>GETPIVOTDATA("Sum of Credit",$B$2,"Account name ","VAT Control Account")-GETPIVOTDATA("Sum of Debit",$B$2,"Account name ","VAT Control Account")</f>
        <v>27312</v>
      </c>
    </row>
    <row r="28" spans="2:5">
      <c r="B28" s="148" t="s">
        <v>196</v>
      </c>
      <c r="C28" s="149">
        <v>132517235.40000001</v>
      </c>
      <c r="D28" s="149">
        <v>132517235.40000001</v>
      </c>
    </row>
  </sheetData>
  <pageMargins left="0.7" right="0.7" top="0.75" bottom="0.75" header="0.3" footer="0.3"/>
  <pageSetup orientation="portrait" horizontalDpi="0" verticalDpi="0"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28"/>
  <sheetViews>
    <sheetView workbookViewId="0">
      <selection activeCell="A11" sqref="A11"/>
    </sheetView>
  </sheetViews>
  <sheetFormatPr defaultRowHeight="14.25"/>
  <cols>
    <col min="2" max="2" width="34.375" bestFit="1" customWidth="1"/>
    <col min="3" max="4" width="13.375" bestFit="1" customWidth="1"/>
    <col min="5" max="5" width="13" bestFit="1" customWidth="1"/>
    <col min="6" max="6" width="11.375" customWidth="1"/>
    <col min="7" max="7" width="9.875" customWidth="1"/>
  </cols>
  <sheetData>
    <row r="2" spans="2:7" ht="15">
      <c r="B2" s="75" t="s">
        <v>195</v>
      </c>
      <c r="C2" s="75" t="s">
        <v>197</v>
      </c>
      <c r="D2" s="75" t="s">
        <v>198</v>
      </c>
      <c r="E2" s="75" t="s">
        <v>294</v>
      </c>
      <c r="F2" s="75" t="s">
        <v>64</v>
      </c>
      <c r="G2" s="75" t="s">
        <v>65</v>
      </c>
    </row>
    <row r="3" spans="2:7" ht="15">
      <c r="B3" s="75" t="s">
        <v>13</v>
      </c>
      <c r="C3" s="145">
        <v>4679513.4000000004</v>
      </c>
      <c r="D3" s="145">
        <v>2934720</v>
      </c>
      <c r="E3" s="145">
        <f>C3-D3</f>
        <v>1744793.4000000004</v>
      </c>
      <c r="F3" s="145">
        <v>1744793.4000000004</v>
      </c>
      <c r="G3" s="145">
        <v>0</v>
      </c>
    </row>
    <row r="4" spans="2:7" ht="15">
      <c r="B4" s="75" t="s">
        <v>21</v>
      </c>
      <c r="C4" s="145"/>
      <c r="D4" s="145">
        <v>500000</v>
      </c>
      <c r="E4" s="145">
        <f t="shared" ref="E4:E28" si="0">C4-D4</f>
        <v>-500000</v>
      </c>
      <c r="F4" s="145">
        <v>0</v>
      </c>
      <c r="G4" s="145">
        <v>500000</v>
      </c>
    </row>
    <row r="5" spans="2:7" ht="15">
      <c r="B5" s="75" t="s">
        <v>12</v>
      </c>
      <c r="C5" s="145">
        <v>51176899</v>
      </c>
      <c r="D5" s="145">
        <v>49635095</v>
      </c>
      <c r="E5" s="145">
        <f t="shared" si="0"/>
        <v>1541804</v>
      </c>
      <c r="F5" s="145">
        <v>1541804</v>
      </c>
      <c r="G5" s="145">
        <v>0</v>
      </c>
    </row>
    <row r="6" spans="2:7" ht="15">
      <c r="B6" s="75" t="s">
        <v>67</v>
      </c>
      <c r="C6" s="145">
        <v>71530</v>
      </c>
      <c r="D6" s="145"/>
      <c r="E6" s="145">
        <f t="shared" si="0"/>
        <v>71530</v>
      </c>
      <c r="F6" s="145">
        <v>71530</v>
      </c>
      <c r="G6" s="145">
        <v>0</v>
      </c>
    </row>
    <row r="7" spans="2:7" ht="15">
      <c r="B7" s="75" t="s">
        <v>11</v>
      </c>
      <c r="C7" s="145">
        <v>391000</v>
      </c>
      <c r="D7" s="145">
        <v>391000</v>
      </c>
      <c r="E7" s="145">
        <f t="shared" si="0"/>
        <v>0</v>
      </c>
      <c r="F7" s="145">
        <v>0</v>
      </c>
      <c r="G7" s="145">
        <v>0</v>
      </c>
    </row>
    <row r="8" spans="2:7" ht="15">
      <c r="B8" s="75" t="s">
        <v>83</v>
      </c>
      <c r="C8" s="145">
        <v>250000</v>
      </c>
      <c r="D8" s="145"/>
      <c r="E8" s="145">
        <f t="shared" si="0"/>
        <v>250000</v>
      </c>
      <c r="F8" s="145">
        <v>250000</v>
      </c>
      <c r="G8" s="145">
        <v>0</v>
      </c>
    </row>
    <row r="9" spans="2:7" ht="15">
      <c r="B9" s="75" t="s">
        <v>99</v>
      </c>
      <c r="C9" s="145">
        <v>10638</v>
      </c>
      <c r="D9" s="145">
        <v>12411</v>
      </c>
      <c r="E9" s="145">
        <f t="shared" si="0"/>
        <v>-1773</v>
      </c>
      <c r="F9" s="145">
        <v>0</v>
      </c>
      <c r="G9" s="145">
        <v>1773</v>
      </c>
    </row>
    <row r="10" spans="2:7" ht="15">
      <c r="B10" s="75" t="s">
        <v>51</v>
      </c>
      <c r="C10" s="145"/>
      <c r="D10" s="145">
        <v>1652000</v>
      </c>
      <c r="E10" s="145">
        <f t="shared" si="0"/>
        <v>-1652000</v>
      </c>
      <c r="F10" s="145">
        <v>0</v>
      </c>
      <c r="G10" s="145">
        <v>1652000</v>
      </c>
    </row>
    <row r="11" spans="2:7" ht="15">
      <c r="B11" s="75" t="s">
        <v>50</v>
      </c>
      <c r="C11" s="145"/>
      <c r="D11" s="145">
        <v>6487353.4000000004</v>
      </c>
      <c r="E11" s="145">
        <f t="shared" si="0"/>
        <v>-6487353.4000000004</v>
      </c>
      <c r="F11" s="145">
        <v>0</v>
      </c>
      <c r="G11" s="145">
        <v>6487353.4000000004</v>
      </c>
    </row>
    <row r="12" spans="2:7" ht="15">
      <c r="B12" s="75" t="s">
        <v>68</v>
      </c>
      <c r="C12" s="145">
        <v>61226760</v>
      </c>
      <c r="D12" s="145">
        <v>31639308</v>
      </c>
      <c r="E12" s="145">
        <f t="shared" si="0"/>
        <v>29587452</v>
      </c>
      <c r="F12" s="145">
        <v>29587452</v>
      </c>
      <c r="G12" s="145">
        <v>0</v>
      </c>
    </row>
    <row r="13" spans="2:7" ht="15">
      <c r="B13" s="75" t="s">
        <v>97</v>
      </c>
      <c r="C13" s="145">
        <v>18000</v>
      </c>
      <c r="D13" s="145">
        <v>21000</v>
      </c>
      <c r="E13" s="145">
        <f t="shared" si="0"/>
        <v>-3000</v>
      </c>
      <c r="F13" s="145">
        <v>0</v>
      </c>
      <c r="G13" s="145">
        <v>3000</v>
      </c>
    </row>
    <row r="14" spans="2:7" ht="15">
      <c r="B14" s="75" t="s">
        <v>48</v>
      </c>
      <c r="C14" s="145">
        <v>391000</v>
      </c>
      <c r="D14" s="145"/>
      <c r="E14" s="145">
        <f t="shared" si="0"/>
        <v>391000</v>
      </c>
      <c r="F14" s="145">
        <v>391000</v>
      </c>
      <c r="G14" s="145">
        <v>0</v>
      </c>
    </row>
    <row r="15" spans="2:7" ht="15">
      <c r="B15" s="75" t="s">
        <v>102</v>
      </c>
      <c r="C15" s="145">
        <v>1271187</v>
      </c>
      <c r="D15" s="145"/>
      <c r="E15" s="145">
        <f t="shared" si="0"/>
        <v>1271187</v>
      </c>
      <c r="F15" s="145">
        <v>1271187</v>
      </c>
      <c r="G15" s="145">
        <v>0</v>
      </c>
    </row>
    <row r="16" spans="2:7" ht="15">
      <c r="B16" s="75" t="s">
        <v>1</v>
      </c>
      <c r="C16" s="145"/>
      <c r="D16" s="145">
        <v>30000000</v>
      </c>
      <c r="E16" s="145">
        <f t="shared" si="0"/>
        <v>-30000000</v>
      </c>
      <c r="F16" s="145">
        <v>0</v>
      </c>
      <c r="G16" s="145">
        <v>30000000</v>
      </c>
    </row>
    <row r="17" spans="2:7" ht="15">
      <c r="B17" s="75" t="s">
        <v>96</v>
      </c>
      <c r="C17" s="145">
        <v>73370</v>
      </c>
      <c r="D17" s="145"/>
      <c r="E17" s="145">
        <f t="shared" si="0"/>
        <v>73370</v>
      </c>
      <c r="F17" s="145">
        <v>73370</v>
      </c>
      <c r="G17" s="145">
        <v>0</v>
      </c>
    </row>
    <row r="18" spans="2:7" ht="15">
      <c r="B18" s="75" t="s">
        <v>71</v>
      </c>
      <c r="C18" s="145">
        <v>634000</v>
      </c>
      <c r="D18" s="145">
        <v>798000</v>
      </c>
      <c r="E18" s="145">
        <f t="shared" si="0"/>
        <v>-164000</v>
      </c>
      <c r="F18" s="145">
        <v>0</v>
      </c>
      <c r="G18" s="145">
        <v>164000</v>
      </c>
    </row>
    <row r="19" spans="2:7" ht="15">
      <c r="B19" s="75" t="s">
        <v>98</v>
      </c>
      <c r="C19" s="145">
        <v>420000</v>
      </c>
      <c r="D19" s="145">
        <v>490000</v>
      </c>
      <c r="E19" s="145">
        <f t="shared" si="0"/>
        <v>-70000</v>
      </c>
      <c r="F19" s="145">
        <v>0</v>
      </c>
      <c r="G19" s="145">
        <v>70000</v>
      </c>
    </row>
    <row r="20" spans="2:7" ht="15">
      <c r="B20" s="75" t="s">
        <v>14</v>
      </c>
      <c r="C20" s="145">
        <v>722262</v>
      </c>
      <c r="D20" s="145">
        <v>635592</v>
      </c>
      <c r="E20" s="145">
        <f t="shared" si="0"/>
        <v>86670</v>
      </c>
      <c r="F20" s="145">
        <v>86670</v>
      </c>
      <c r="G20" s="145">
        <v>0</v>
      </c>
    </row>
    <row r="21" spans="2:7" ht="15">
      <c r="B21" s="75" t="s">
        <v>20</v>
      </c>
      <c r="C21" s="145">
        <v>2500000</v>
      </c>
      <c r="D21" s="145"/>
      <c r="E21" s="145">
        <f t="shared" si="0"/>
        <v>2500000</v>
      </c>
      <c r="F21" s="145">
        <v>2500000</v>
      </c>
      <c r="G21" s="145">
        <v>0</v>
      </c>
    </row>
    <row r="22" spans="2:7" ht="15">
      <c r="B22" s="75" t="s">
        <v>5</v>
      </c>
      <c r="C22" s="145"/>
      <c r="D22" s="145">
        <v>1861374</v>
      </c>
      <c r="E22" s="145">
        <f t="shared" si="0"/>
        <v>-1861374</v>
      </c>
      <c r="F22" s="145">
        <v>0</v>
      </c>
      <c r="G22" s="145">
        <v>1861374</v>
      </c>
    </row>
    <row r="23" spans="2:7" ht="15">
      <c r="B23" s="75" t="s">
        <v>38</v>
      </c>
      <c r="C23" s="145">
        <v>3249006</v>
      </c>
      <c r="D23" s="145"/>
      <c r="E23" s="145">
        <f t="shared" si="0"/>
        <v>3249006</v>
      </c>
      <c r="F23" s="145">
        <v>3249006</v>
      </c>
      <c r="G23" s="145">
        <v>0</v>
      </c>
    </row>
    <row r="24" spans="2:7" ht="15">
      <c r="B24" s="75" t="s">
        <v>100</v>
      </c>
      <c r="C24" s="145">
        <v>2116368</v>
      </c>
      <c r="D24" s="145">
        <v>2116368</v>
      </c>
      <c r="E24" s="145">
        <f t="shared" si="0"/>
        <v>0</v>
      </c>
      <c r="F24" s="145">
        <v>0</v>
      </c>
      <c r="G24" s="145">
        <v>0</v>
      </c>
    </row>
    <row r="25" spans="2:7" ht="15">
      <c r="B25" s="75" t="s">
        <v>59</v>
      </c>
      <c r="C25" s="145">
        <v>2750000</v>
      </c>
      <c r="D25" s="145">
        <v>2750000</v>
      </c>
      <c r="E25" s="145">
        <f t="shared" si="0"/>
        <v>0</v>
      </c>
      <c r="F25" s="145">
        <v>0</v>
      </c>
      <c r="G25" s="145">
        <v>0</v>
      </c>
    </row>
    <row r="26" spans="2:7" ht="15">
      <c r="B26" s="75" t="s">
        <v>189</v>
      </c>
      <c r="C26" s="145">
        <v>204165</v>
      </c>
      <c r="D26" s="145">
        <v>204165</v>
      </c>
      <c r="E26" s="145">
        <f t="shared" si="0"/>
        <v>0</v>
      </c>
      <c r="F26" s="145">
        <v>0</v>
      </c>
      <c r="G26" s="145">
        <v>0</v>
      </c>
    </row>
    <row r="27" spans="2:7" ht="15">
      <c r="B27" s="75" t="s">
        <v>104</v>
      </c>
      <c r="C27" s="145">
        <v>361537</v>
      </c>
      <c r="D27" s="145">
        <v>388849</v>
      </c>
      <c r="E27" s="145">
        <f t="shared" si="0"/>
        <v>-27312</v>
      </c>
      <c r="F27" s="145">
        <v>0</v>
      </c>
      <c r="G27" s="145">
        <v>27312</v>
      </c>
    </row>
    <row r="28" spans="2:7" ht="15">
      <c r="B28" s="75" t="s">
        <v>196</v>
      </c>
      <c r="C28" s="145">
        <v>132517235.40000001</v>
      </c>
      <c r="D28" s="145">
        <v>132517235.40000001</v>
      </c>
      <c r="E28" s="145">
        <f t="shared" si="0"/>
        <v>0</v>
      </c>
      <c r="F28" s="145">
        <f>SUM(F3:F27)</f>
        <v>40766812.399999999</v>
      </c>
      <c r="G28" s="145">
        <f>SUM(G3:G27)</f>
        <v>40766812.399999999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28"/>
  <sheetViews>
    <sheetView workbookViewId="0">
      <selection activeCell="F13" sqref="F13"/>
    </sheetView>
  </sheetViews>
  <sheetFormatPr defaultRowHeight="14.25"/>
  <cols>
    <col min="2" max="2" width="34.375" bestFit="1" customWidth="1"/>
    <col min="3" max="4" width="13.5" bestFit="1" customWidth="1"/>
  </cols>
  <sheetData>
    <row r="2" spans="2:4">
      <c r="B2" s="76" t="s">
        <v>195</v>
      </c>
      <c r="C2" s="77" t="s">
        <v>64</v>
      </c>
      <c r="D2" s="77" t="s">
        <v>65</v>
      </c>
    </row>
    <row r="3" spans="2:4" ht="15">
      <c r="B3" s="75" t="s">
        <v>13</v>
      </c>
      <c r="C3" s="78">
        <v>927920</v>
      </c>
      <c r="D3" s="78">
        <v>0</v>
      </c>
    </row>
    <row r="4" spans="2:4" ht="15">
      <c r="B4" s="75" t="s">
        <v>21</v>
      </c>
      <c r="C4" s="78">
        <v>0</v>
      </c>
      <c r="D4" s="78">
        <v>500000</v>
      </c>
    </row>
    <row r="5" spans="2:4" ht="15">
      <c r="B5" s="75" t="s">
        <v>12</v>
      </c>
      <c r="C5" s="78">
        <v>3975464</v>
      </c>
      <c r="D5" s="78">
        <v>0</v>
      </c>
    </row>
    <row r="6" spans="2:4" ht="15">
      <c r="B6" s="75" t="s">
        <v>67</v>
      </c>
      <c r="C6" s="78">
        <v>37970</v>
      </c>
      <c r="D6" s="78">
        <v>0</v>
      </c>
    </row>
    <row r="7" spans="2:4" ht="15">
      <c r="B7" s="75" t="s">
        <v>11</v>
      </c>
      <c r="C7" s="78">
        <v>11500</v>
      </c>
      <c r="D7" s="78">
        <v>0</v>
      </c>
    </row>
    <row r="8" spans="2:4" ht="15">
      <c r="B8" s="75" t="s">
        <v>83</v>
      </c>
      <c r="C8" s="78">
        <v>250000</v>
      </c>
      <c r="D8" s="78">
        <v>0</v>
      </c>
    </row>
    <row r="9" spans="2:4" ht="15">
      <c r="B9" s="75" t="s">
        <v>99</v>
      </c>
      <c r="C9" s="78">
        <v>0</v>
      </c>
      <c r="D9" s="78">
        <v>1773</v>
      </c>
    </row>
    <row r="10" spans="2:4" ht="15">
      <c r="B10" s="75" t="s">
        <v>51</v>
      </c>
      <c r="C10" s="78">
        <v>0</v>
      </c>
      <c r="D10" s="78">
        <v>924000</v>
      </c>
    </row>
    <row r="11" spans="2:4" ht="15">
      <c r="B11" s="75" t="s">
        <v>50</v>
      </c>
      <c r="C11" s="78">
        <v>0</v>
      </c>
      <c r="D11" s="78">
        <v>1965000</v>
      </c>
    </row>
    <row r="12" spans="2:4" ht="15">
      <c r="B12" s="75" t="s">
        <v>68</v>
      </c>
      <c r="C12" s="78">
        <v>27805240</v>
      </c>
      <c r="D12" s="78">
        <v>0</v>
      </c>
    </row>
    <row r="13" spans="2:4" ht="15">
      <c r="B13" s="75" t="s">
        <v>97</v>
      </c>
      <c r="C13" s="78">
        <v>0</v>
      </c>
      <c r="D13" s="78">
        <v>3000</v>
      </c>
    </row>
    <row r="14" spans="2:4" ht="15">
      <c r="B14" s="75" t="s">
        <v>48</v>
      </c>
      <c r="C14" s="78">
        <v>199500</v>
      </c>
      <c r="D14" s="78">
        <v>0</v>
      </c>
    </row>
    <row r="15" spans="2:4" ht="15">
      <c r="B15" s="75" t="s">
        <v>102</v>
      </c>
      <c r="C15" s="78">
        <v>635594</v>
      </c>
      <c r="D15" s="78">
        <v>0</v>
      </c>
    </row>
    <row r="16" spans="2:4" ht="15">
      <c r="B16" s="75" t="s">
        <v>1</v>
      </c>
      <c r="C16" s="78">
        <v>0</v>
      </c>
      <c r="D16" s="78">
        <v>30000000</v>
      </c>
    </row>
    <row r="17" spans="2:4" ht="15">
      <c r="B17" s="75" t="s">
        <v>96</v>
      </c>
      <c r="C17" s="78">
        <v>73370</v>
      </c>
      <c r="D17" s="78">
        <v>0</v>
      </c>
    </row>
    <row r="18" spans="2:4" ht="15">
      <c r="B18" s="75" t="s">
        <v>71</v>
      </c>
      <c r="C18" s="78">
        <v>0</v>
      </c>
      <c r="D18" s="78">
        <v>164000</v>
      </c>
    </row>
    <row r="19" spans="2:4" ht="15">
      <c r="B19" s="75" t="s">
        <v>98</v>
      </c>
      <c r="C19" s="78">
        <v>0</v>
      </c>
      <c r="D19" s="78">
        <v>70000</v>
      </c>
    </row>
    <row r="20" spans="2:4" ht="15">
      <c r="B20" s="75" t="s">
        <v>14</v>
      </c>
      <c r="C20" s="78">
        <v>211864</v>
      </c>
      <c r="D20" s="78">
        <v>0</v>
      </c>
    </row>
    <row r="21" spans="2:4" ht="15">
      <c r="B21" s="75" t="s">
        <v>20</v>
      </c>
      <c r="C21" s="78">
        <v>2500000</v>
      </c>
      <c r="D21" s="78">
        <v>0</v>
      </c>
    </row>
    <row r="22" spans="2:4" ht="15">
      <c r="B22" s="75" t="s">
        <v>5</v>
      </c>
      <c r="C22" s="78">
        <v>0</v>
      </c>
      <c r="D22" s="78">
        <v>1861374</v>
      </c>
    </row>
    <row r="23" spans="2:4" ht="15">
      <c r="B23" s="75" t="s">
        <v>38</v>
      </c>
      <c r="C23" s="78">
        <v>1624503</v>
      </c>
      <c r="D23" s="78">
        <v>0</v>
      </c>
    </row>
    <row r="24" spans="2:4" ht="15">
      <c r="B24" s="75" t="s">
        <v>100</v>
      </c>
      <c r="C24" s="78">
        <v>0</v>
      </c>
      <c r="D24" s="78">
        <v>0</v>
      </c>
    </row>
    <row r="25" spans="2:4" ht="15">
      <c r="B25" s="75" t="s">
        <v>59</v>
      </c>
      <c r="C25" s="78">
        <v>0</v>
      </c>
      <c r="D25" s="78">
        <v>2750000</v>
      </c>
    </row>
    <row r="26" spans="2:4" ht="15">
      <c r="B26" s="75" t="s">
        <v>189</v>
      </c>
      <c r="C26" s="78">
        <v>0</v>
      </c>
      <c r="D26" s="78">
        <v>0</v>
      </c>
    </row>
    <row r="27" spans="2:4" ht="15">
      <c r="B27" s="75" t="s">
        <v>104</v>
      </c>
      <c r="C27" s="78">
        <v>0</v>
      </c>
      <c r="D27" s="78">
        <v>13778</v>
      </c>
    </row>
    <row r="28" spans="2:4">
      <c r="B28" s="76" t="s">
        <v>196</v>
      </c>
      <c r="C28" s="79">
        <f>SUM(C3:C27)</f>
        <v>38252925</v>
      </c>
      <c r="D28" s="79">
        <f>SUM(D3:D27)</f>
        <v>38252925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7"/>
  <sheetViews>
    <sheetView topLeftCell="A4" workbookViewId="0">
      <selection activeCell="F4" sqref="F4"/>
    </sheetView>
  </sheetViews>
  <sheetFormatPr defaultColWidth="8.625" defaultRowHeight="14.25"/>
  <cols>
    <col min="1" max="1" width="2.875" style="1" customWidth="1"/>
    <col min="2" max="2" width="23.75" style="1" bestFit="1" customWidth="1"/>
    <col min="3" max="3" width="11.875" style="1" customWidth="1"/>
    <col min="4" max="4" width="12.625" style="1" bestFit="1" customWidth="1"/>
    <col min="5" max="5" width="11" style="1" bestFit="1" customWidth="1"/>
    <col min="6" max="6" width="48.625" style="1" customWidth="1"/>
    <col min="7" max="16384" width="8.625" style="1"/>
  </cols>
  <sheetData>
    <row r="1" spans="2:7" ht="15" thickBot="1"/>
    <row r="2" spans="2:7" ht="15" thickTop="1">
      <c r="B2" s="65" t="s">
        <v>129</v>
      </c>
      <c r="C2" s="66" t="s">
        <v>116</v>
      </c>
      <c r="D2" s="66" t="s">
        <v>117</v>
      </c>
      <c r="E2" s="66" t="s">
        <v>118</v>
      </c>
      <c r="F2" s="67" t="s">
        <v>119</v>
      </c>
    </row>
    <row r="3" spans="2:7" s="31" customFormat="1" ht="15">
      <c r="B3" s="70" t="s">
        <v>120</v>
      </c>
      <c r="C3" s="71">
        <v>1500000</v>
      </c>
      <c r="D3" s="72">
        <v>46016</v>
      </c>
      <c r="E3" s="73">
        <f>C3*5%*2</f>
        <v>150000</v>
      </c>
      <c r="F3" s="74" t="s">
        <v>121</v>
      </c>
    </row>
    <row r="4" spans="2:7" s="31" customFormat="1" ht="15">
      <c r="B4" s="70" t="s">
        <v>122</v>
      </c>
      <c r="C4" s="71">
        <v>1300000</v>
      </c>
      <c r="D4" s="72">
        <v>46042</v>
      </c>
      <c r="E4" s="73">
        <f>C4*5%</f>
        <v>65000</v>
      </c>
      <c r="F4" s="74" t="s">
        <v>123</v>
      </c>
    </row>
    <row r="5" spans="2:7" s="31" customFormat="1" ht="15">
      <c r="B5" s="70" t="s">
        <v>124</v>
      </c>
      <c r="C5" s="71">
        <v>1500000</v>
      </c>
      <c r="D5" s="72">
        <v>46049</v>
      </c>
      <c r="E5" s="73">
        <f>C5*5%</f>
        <v>75000</v>
      </c>
      <c r="F5" s="74" t="s">
        <v>123</v>
      </c>
    </row>
    <row r="6" spans="2:7" s="31" customFormat="1" ht="15">
      <c r="B6" s="70" t="s">
        <v>125</v>
      </c>
      <c r="C6" s="71">
        <v>3000000</v>
      </c>
      <c r="D6" s="72">
        <v>46114</v>
      </c>
      <c r="E6" s="73">
        <f>C6*5%*3</f>
        <v>450000</v>
      </c>
      <c r="F6" s="74" t="s">
        <v>126</v>
      </c>
    </row>
    <row r="7" spans="2:7" s="31" customFormat="1" ht="15">
      <c r="B7" s="70" t="s">
        <v>127</v>
      </c>
      <c r="C7" s="71">
        <v>500000</v>
      </c>
      <c r="D7" s="72">
        <v>46138</v>
      </c>
      <c r="E7" s="73">
        <f>C7*5%*1</f>
        <v>25000</v>
      </c>
      <c r="F7" s="74" t="s">
        <v>123</v>
      </c>
      <c r="G7" s="31" t="s">
        <v>191</v>
      </c>
    </row>
    <row r="8" spans="2:7" s="31" customFormat="1" ht="15">
      <c r="B8" s="70" t="s">
        <v>128</v>
      </c>
      <c r="C8" s="71">
        <v>1000000</v>
      </c>
      <c r="D8" s="72">
        <v>46159</v>
      </c>
      <c r="E8" s="73">
        <f>C8*5%</f>
        <v>50000</v>
      </c>
      <c r="F8" s="74" t="s">
        <v>123</v>
      </c>
      <c r="G8" s="31">
        <v>3</v>
      </c>
    </row>
    <row r="9" spans="2:7" ht="15.75" thickBot="1">
      <c r="B9" s="61" t="s">
        <v>130</v>
      </c>
      <c r="C9" s="62"/>
      <c r="D9" s="62"/>
      <c r="E9" s="63">
        <f>IFERROR(SUM(E3:E8),0)</f>
        <v>815000</v>
      </c>
      <c r="F9" s="64"/>
    </row>
    <row r="10" spans="2:7" ht="15" thickTop="1"/>
    <row r="11" spans="2:7" ht="15" thickBot="1"/>
    <row r="12" spans="2:7" ht="15" thickTop="1">
      <c r="B12" s="65" t="s">
        <v>129</v>
      </c>
      <c r="C12" s="66" t="s">
        <v>116</v>
      </c>
      <c r="D12" s="66" t="s">
        <v>117</v>
      </c>
      <c r="E12" s="66" t="s">
        <v>118</v>
      </c>
      <c r="F12" s="67" t="s">
        <v>119</v>
      </c>
    </row>
    <row r="13" spans="2:7" ht="15">
      <c r="B13" s="81" t="s">
        <v>275</v>
      </c>
      <c r="C13" s="82">
        <v>500000</v>
      </c>
      <c r="D13" s="83">
        <v>46195</v>
      </c>
      <c r="E13" s="84">
        <f>C13*5%</f>
        <v>25000</v>
      </c>
      <c r="F13" s="85" t="s">
        <v>273</v>
      </c>
    </row>
    <row r="14" spans="2:7" ht="15">
      <c r="B14" s="81" t="s">
        <v>276</v>
      </c>
      <c r="C14" s="82">
        <v>665068</v>
      </c>
      <c r="D14" s="83">
        <v>46200</v>
      </c>
      <c r="E14" s="84">
        <f>C14*5%</f>
        <v>33253.4</v>
      </c>
      <c r="F14" s="85" t="s">
        <v>273</v>
      </c>
    </row>
    <row r="15" spans="2:7" ht="15">
      <c r="B15" s="81" t="s">
        <v>125</v>
      </c>
      <c r="C15" s="82">
        <v>3000000</v>
      </c>
      <c r="D15" s="83">
        <v>46236</v>
      </c>
      <c r="E15" s="84">
        <f>C15*5%*3</f>
        <v>450000</v>
      </c>
      <c r="F15" s="85" t="s">
        <v>277</v>
      </c>
      <c r="G15" s="1" t="s">
        <v>274</v>
      </c>
    </row>
    <row r="16" spans="2:7" ht="15">
      <c r="B16" s="81" t="s">
        <v>278</v>
      </c>
      <c r="C16" s="82">
        <v>1500000</v>
      </c>
      <c r="D16" s="83">
        <v>46215</v>
      </c>
      <c r="E16" s="84">
        <f>C16*5%*4</f>
        <v>300000</v>
      </c>
      <c r="F16" s="85" t="s">
        <v>279</v>
      </c>
    </row>
    <row r="17" spans="2:6" ht="15">
      <c r="B17" s="81" t="s">
        <v>280</v>
      </c>
      <c r="C17" s="82">
        <v>2000000</v>
      </c>
      <c r="D17" s="83">
        <v>46215</v>
      </c>
      <c r="E17" s="84">
        <f>C17*5%</f>
        <v>100000</v>
      </c>
      <c r="F17" s="85" t="s">
        <v>281</v>
      </c>
    </row>
    <row r="18" spans="2:6" ht="15">
      <c r="B18" s="81" t="s">
        <v>282</v>
      </c>
      <c r="C18" s="82">
        <v>150000</v>
      </c>
      <c r="D18" s="83">
        <v>46214</v>
      </c>
      <c r="E18" s="84">
        <f>C18*5%</f>
        <v>7500</v>
      </c>
      <c r="F18" s="85" t="s">
        <v>281</v>
      </c>
    </row>
    <row r="19" spans="2:6" ht="15">
      <c r="B19" s="81" t="s">
        <v>283</v>
      </c>
      <c r="C19" s="82">
        <v>2000000</v>
      </c>
      <c r="D19" s="83">
        <v>46243</v>
      </c>
      <c r="E19" s="84">
        <f>C19*5%</f>
        <v>100000</v>
      </c>
      <c r="F19" s="85" t="s">
        <v>281</v>
      </c>
    </row>
    <row r="20" spans="2:6" ht="15">
      <c r="B20" s="81" t="s">
        <v>284</v>
      </c>
      <c r="C20" s="82">
        <v>300000</v>
      </c>
      <c r="D20" s="83">
        <v>46235</v>
      </c>
      <c r="E20" s="84">
        <f>C20*5%*3</f>
        <v>45000</v>
      </c>
      <c r="F20" s="85" t="s">
        <v>285</v>
      </c>
    </row>
    <row r="21" spans="2:6" ht="15">
      <c r="B21" s="81" t="s">
        <v>286</v>
      </c>
      <c r="C21" s="82">
        <v>1000000</v>
      </c>
      <c r="D21" s="83">
        <v>46256</v>
      </c>
      <c r="E21" s="84">
        <f>C21*5%*2</f>
        <v>100000</v>
      </c>
      <c r="F21" s="85" t="s">
        <v>287</v>
      </c>
    </row>
    <row r="22" spans="2:6" ht="15">
      <c r="B22" s="81" t="s">
        <v>288</v>
      </c>
      <c r="C22" s="82">
        <v>1000000</v>
      </c>
      <c r="D22" s="83">
        <v>46208</v>
      </c>
      <c r="E22" s="84">
        <f>C22*5%</f>
        <v>50000</v>
      </c>
      <c r="F22" s="85" t="s">
        <v>273</v>
      </c>
    </row>
    <row r="23" spans="2:6" ht="15">
      <c r="B23" s="81" t="s">
        <v>289</v>
      </c>
      <c r="C23" s="82">
        <v>1500000</v>
      </c>
      <c r="D23" s="83">
        <v>46208</v>
      </c>
      <c r="E23" s="84">
        <v>10800</v>
      </c>
      <c r="F23" s="85" t="s">
        <v>290</v>
      </c>
    </row>
    <row r="24" spans="2:6" ht="15">
      <c r="B24" s="81" t="s">
        <v>291</v>
      </c>
      <c r="C24" s="82">
        <v>500000</v>
      </c>
      <c r="D24" s="83"/>
      <c r="E24" s="84">
        <v>3600</v>
      </c>
      <c r="F24" s="85" t="s">
        <v>290</v>
      </c>
    </row>
    <row r="25" spans="2:6" ht="15">
      <c r="B25" s="81" t="s">
        <v>292</v>
      </c>
      <c r="C25" s="82">
        <v>1000000</v>
      </c>
      <c r="D25" s="83">
        <v>46208</v>
      </c>
      <c r="E25" s="84">
        <f>C25*5%</f>
        <v>50000</v>
      </c>
      <c r="F25" s="85" t="s">
        <v>273</v>
      </c>
    </row>
    <row r="26" spans="2:6" ht="15.75" thickBot="1">
      <c r="B26" s="61" t="s">
        <v>130</v>
      </c>
      <c r="C26" s="62"/>
      <c r="D26" s="62"/>
      <c r="E26" s="63">
        <f>IFERROR(SUM(E13:E25),0)</f>
        <v>1275153.3999999999</v>
      </c>
      <c r="F26" s="64"/>
    </row>
    <row r="27" spans="2:6" ht="15" thickTop="1"/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7"/>
  <sheetViews>
    <sheetView topLeftCell="A46" workbookViewId="0">
      <selection activeCell="B61" sqref="B61"/>
    </sheetView>
  </sheetViews>
  <sheetFormatPr defaultColWidth="8.75" defaultRowHeight="14.25"/>
  <cols>
    <col min="1" max="1" width="30" style="4" bestFit="1" customWidth="1"/>
    <col min="2" max="2" width="35" style="12" customWidth="1"/>
    <col min="3" max="3" width="13.875" style="4" bestFit="1" customWidth="1"/>
    <col min="4" max="4" width="15.875" style="2" bestFit="1" customWidth="1"/>
    <col min="5" max="16384" width="8.75" style="2"/>
  </cols>
  <sheetData>
    <row r="1" spans="1:3" ht="15" thickBot="1"/>
    <row r="2" spans="1:3" ht="15" thickTop="1">
      <c r="A2" s="6" t="s">
        <v>56</v>
      </c>
      <c r="B2" s="13" t="s">
        <v>58</v>
      </c>
      <c r="C2" s="8" t="s">
        <v>57</v>
      </c>
    </row>
    <row r="3" spans="1:3" ht="15">
      <c r="A3" s="152" t="s">
        <v>0</v>
      </c>
      <c r="B3" s="14" t="s">
        <v>1</v>
      </c>
      <c r="C3" s="9">
        <v>1010</v>
      </c>
    </row>
    <row r="4" spans="1:3" ht="15">
      <c r="A4" s="152"/>
      <c r="B4" s="14" t="s">
        <v>2</v>
      </c>
      <c r="C4" s="9">
        <v>1020</v>
      </c>
    </row>
    <row r="5" spans="1:3" ht="15">
      <c r="A5" s="152"/>
      <c r="B5" s="14" t="s">
        <v>3</v>
      </c>
      <c r="C5" s="9">
        <v>1030</v>
      </c>
    </row>
    <row r="6" spans="1:3" ht="15">
      <c r="A6" s="152"/>
      <c r="B6" s="14" t="s">
        <v>4</v>
      </c>
      <c r="C6" s="9">
        <v>1040</v>
      </c>
    </row>
    <row r="7" spans="1:3" ht="15">
      <c r="A7" s="152"/>
      <c r="B7" s="14" t="s">
        <v>5</v>
      </c>
      <c r="C7" s="9">
        <v>1050</v>
      </c>
    </row>
    <row r="8" spans="1:3" ht="15">
      <c r="A8" s="152"/>
      <c r="B8" s="14" t="s">
        <v>6</v>
      </c>
      <c r="C8" s="9">
        <v>1060</v>
      </c>
    </row>
    <row r="9" spans="1:3" ht="15">
      <c r="A9" s="152" t="s">
        <v>7</v>
      </c>
      <c r="B9" s="14" t="s">
        <v>8</v>
      </c>
      <c r="C9" s="9">
        <v>2010</v>
      </c>
    </row>
    <row r="10" spans="1:3" ht="15">
      <c r="A10" s="152"/>
      <c r="B10" s="14" t="s">
        <v>9</v>
      </c>
      <c r="C10" s="9">
        <v>2020</v>
      </c>
    </row>
    <row r="11" spans="1:3" ht="15">
      <c r="A11" s="152"/>
      <c r="B11" s="14" t="s">
        <v>59</v>
      </c>
      <c r="C11" s="9">
        <v>2030</v>
      </c>
    </row>
    <row r="12" spans="1:3" ht="14.45" customHeight="1">
      <c r="A12" s="29" t="s">
        <v>69</v>
      </c>
      <c r="B12" s="14" t="s">
        <v>70</v>
      </c>
      <c r="C12" s="9">
        <v>2510</v>
      </c>
    </row>
    <row r="13" spans="1:3" ht="15">
      <c r="A13" s="29"/>
      <c r="B13" s="14" t="s">
        <v>77</v>
      </c>
      <c r="C13" s="9">
        <v>2520</v>
      </c>
    </row>
    <row r="14" spans="1:3" ht="15">
      <c r="A14" s="29"/>
      <c r="B14" s="14" t="s">
        <v>104</v>
      </c>
      <c r="C14" s="9">
        <v>2530</v>
      </c>
    </row>
    <row r="15" spans="1:3" ht="15" customHeight="1">
      <c r="A15" s="29"/>
      <c r="B15" s="14" t="s">
        <v>71</v>
      </c>
      <c r="C15" s="9">
        <v>2540</v>
      </c>
    </row>
    <row r="16" spans="1:3" ht="15" customHeight="1">
      <c r="A16" s="29"/>
      <c r="B16" s="14" t="s">
        <v>97</v>
      </c>
      <c r="C16" s="9">
        <v>2550</v>
      </c>
    </row>
    <row r="17" spans="1:3" ht="15" customHeight="1">
      <c r="A17" s="29"/>
      <c r="B17" s="14" t="s">
        <v>98</v>
      </c>
      <c r="C17" s="9">
        <v>2560</v>
      </c>
    </row>
    <row r="18" spans="1:3" ht="15" customHeight="1">
      <c r="A18" s="29"/>
      <c r="B18" s="14" t="s">
        <v>99</v>
      </c>
      <c r="C18" s="9">
        <v>2570</v>
      </c>
    </row>
    <row r="19" spans="1:3" ht="15" customHeight="1">
      <c r="A19" s="29"/>
      <c r="B19" s="14" t="s">
        <v>100</v>
      </c>
      <c r="C19" s="9">
        <v>2580</v>
      </c>
    </row>
    <row r="20" spans="1:3" ht="15">
      <c r="A20" s="29"/>
      <c r="B20" s="14" t="s">
        <v>72</v>
      </c>
      <c r="C20" s="9">
        <v>2590</v>
      </c>
    </row>
    <row r="21" spans="1:3" ht="15">
      <c r="A21" s="29"/>
      <c r="B21" s="14" t="s">
        <v>73</v>
      </c>
      <c r="C21" s="9">
        <v>2600</v>
      </c>
    </row>
    <row r="22" spans="1:3" ht="15">
      <c r="A22" s="29"/>
      <c r="B22" s="14" t="s">
        <v>74</v>
      </c>
      <c r="C22" s="9">
        <v>2610</v>
      </c>
    </row>
    <row r="23" spans="1:3" ht="15">
      <c r="A23" s="29"/>
      <c r="B23" s="14" t="s">
        <v>75</v>
      </c>
      <c r="C23" s="9">
        <v>2620</v>
      </c>
    </row>
    <row r="24" spans="1:3" ht="15">
      <c r="A24" s="29"/>
      <c r="B24" s="14" t="s">
        <v>76</v>
      </c>
      <c r="C24" s="9">
        <v>2630</v>
      </c>
    </row>
    <row r="25" spans="1:3" ht="15">
      <c r="A25" s="29"/>
      <c r="B25" s="14" t="s">
        <v>189</v>
      </c>
      <c r="C25" s="9">
        <v>2640</v>
      </c>
    </row>
    <row r="26" spans="1:3" ht="15">
      <c r="A26" s="29" t="s">
        <v>10</v>
      </c>
      <c r="B26" s="14" t="s">
        <v>11</v>
      </c>
      <c r="C26" s="10">
        <v>3010</v>
      </c>
    </row>
    <row r="27" spans="1:3" ht="15">
      <c r="A27" s="29"/>
      <c r="B27" s="14" t="s">
        <v>12</v>
      </c>
      <c r="C27" s="10">
        <v>3020</v>
      </c>
    </row>
    <row r="28" spans="1:3" ht="15">
      <c r="A28" s="29"/>
      <c r="B28" s="14" t="s">
        <v>13</v>
      </c>
      <c r="C28" s="10">
        <v>3030</v>
      </c>
    </row>
    <row r="29" spans="1:3" ht="15">
      <c r="A29" s="29"/>
      <c r="B29" s="14" t="s">
        <v>96</v>
      </c>
      <c r="C29" s="10">
        <v>3040</v>
      </c>
    </row>
    <row r="30" spans="1:3" ht="15">
      <c r="A30" s="29"/>
      <c r="B30" s="14" t="s">
        <v>14</v>
      </c>
      <c r="C30" s="10">
        <v>3050</v>
      </c>
    </row>
    <row r="31" spans="1:3" ht="15">
      <c r="A31" s="29"/>
      <c r="B31" s="14" t="s">
        <v>83</v>
      </c>
      <c r="C31" s="10">
        <v>3060</v>
      </c>
    </row>
    <row r="32" spans="1:3" ht="15">
      <c r="A32" s="152" t="s">
        <v>15</v>
      </c>
      <c r="B32" s="14" t="s">
        <v>68</v>
      </c>
      <c r="C32" s="10">
        <v>3110</v>
      </c>
    </row>
    <row r="33" spans="1:3" ht="15">
      <c r="A33" s="152"/>
      <c r="B33" s="14" t="s">
        <v>16</v>
      </c>
      <c r="C33" s="10">
        <v>3120</v>
      </c>
    </row>
    <row r="34" spans="1:3" ht="15">
      <c r="A34" s="152"/>
      <c r="B34" s="14" t="s">
        <v>17</v>
      </c>
      <c r="C34" s="10">
        <v>3130</v>
      </c>
    </row>
    <row r="35" spans="1:3" ht="15">
      <c r="A35" s="152"/>
      <c r="B35" s="14" t="s">
        <v>18</v>
      </c>
      <c r="C35" s="9">
        <v>3140</v>
      </c>
    </row>
    <row r="36" spans="1:3" ht="15">
      <c r="A36" s="152" t="s">
        <v>19</v>
      </c>
      <c r="B36" s="14" t="s">
        <v>20</v>
      </c>
      <c r="C36" s="10">
        <v>3210</v>
      </c>
    </row>
    <row r="37" spans="1:3" ht="15">
      <c r="A37" s="152"/>
      <c r="B37" s="14" t="s">
        <v>21</v>
      </c>
      <c r="C37" s="10">
        <v>3220</v>
      </c>
    </row>
    <row r="38" spans="1:3" ht="15">
      <c r="A38" s="152"/>
      <c r="B38" s="14" t="s">
        <v>22</v>
      </c>
      <c r="C38" s="10">
        <v>3230</v>
      </c>
    </row>
    <row r="39" spans="1:3" ht="15">
      <c r="A39" s="152"/>
      <c r="B39" s="14" t="s">
        <v>23</v>
      </c>
      <c r="C39" s="10">
        <v>3240</v>
      </c>
    </row>
    <row r="40" spans="1:3" ht="15">
      <c r="A40" s="152" t="s">
        <v>24</v>
      </c>
      <c r="B40" s="14" t="s">
        <v>25</v>
      </c>
      <c r="C40" s="10">
        <v>4010</v>
      </c>
    </row>
    <row r="41" spans="1:3" ht="15">
      <c r="A41" s="152"/>
      <c r="B41" s="14" t="s">
        <v>26</v>
      </c>
      <c r="C41" s="10">
        <v>4020</v>
      </c>
    </row>
    <row r="42" spans="1:3" ht="15">
      <c r="A42" s="152"/>
      <c r="B42" s="14" t="s">
        <v>27</v>
      </c>
      <c r="C42" s="10">
        <v>4030</v>
      </c>
    </row>
    <row r="43" spans="1:3" ht="15">
      <c r="A43" s="152" t="s">
        <v>28</v>
      </c>
      <c r="B43" s="14" t="s">
        <v>29</v>
      </c>
      <c r="C43" s="10">
        <v>5010</v>
      </c>
    </row>
    <row r="44" spans="1:3" ht="15">
      <c r="A44" s="152"/>
      <c r="B44" s="14" t="s">
        <v>30</v>
      </c>
      <c r="C44" s="10">
        <v>5020</v>
      </c>
    </row>
    <row r="45" spans="1:3" ht="15">
      <c r="A45" s="152" t="s">
        <v>31</v>
      </c>
      <c r="B45" s="14" t="s">
        <v>32</v>
      </c>
      <c r="C45" s="10">
        <v>5110</v>
      </c>
    </row>
    <row r="46" spans="1:3" ht="15">
      <c r="A46" s="152"/>
      <c r="B46" s="14" t="s">
        <v>33</v>
      </c>
      <c r="C46" s="10">
        <v>5120</v>
      </c>
    </row>
    <row r="47" spans="1:3" ht="15">
      <c r="A47" s="152" t="s">
        <v>34</v>
      </c>
      <c r="B47" s="14" t="s">
        <v>41</v>
      </c>
      <c r="C47" s="10">
        <v>5210</v>
      </c>
    </row>
    <row r="48" spans="1:3" ht="15">
      <c r="A48" s="152"/>
      <c r="B48" s="14" t="s">
        <v>42</v>
      </c>
      <c r="C48" s="10">
        <v>5220</v>
      </c>
    </row>
    <row r="49" spans="1:3" ht="15">
      <c r="A49" s="7" t="s">
        <v>35</v>
      </c>
      <c r="B49" s="14" t="s">
        <v>36</v>
      </c>
      <c r="C49" s="10">
        <v>6010</v>
      </c>
    </row>
    <row r="50" spans="1:3" ht="15">
      <c r="A50" s="152" t="s">
        <v>37</v>
      </c>
      <c r="B50" s="14" t="s">
        <v>38</v>
      </c>
      <c r="C50" s="10">
        <v>6110</v>
      </c>
    </row>
    <row r="51" spans="1:3" ht="15">
      <c r="A51" s="152"/>
      <c r="B51" s="14" t="s">
        <v>39</v>
      </c>
      <c r="C51" s="10">
        <v>6120</v>
      </c>
    </row>
    <row r="52" spans="1:3" ht="15">
      <c r="A52" s="152" t="s">
        <v>40</v>
      </c>
      <c r="B52" s="14" t="s">
        <v>102</v>
      </c>
      <c r="C52" s="9">
        <v>6210</v>
      </c>
    </row>
    <row r="53" spans="1:3" ht="15">
      <c r="A53" s="152"/>
      <c r="B53" s="14" t="s">
        <v>101</v>
      </c>
      <c r="C53" s="9">
        <v>6220</v>
      </c>
    </row>
    <row r="54" spans="1:3" ht="15">
      <c r="A54" s="152"/>
      <c r="B54" s="14" t="s">
        <v>43</v>
      </c>
      <c r="C54" s="9">
        <v>6230</v>
      </c>
    </row>
    <row r="55" spans="1:3" ht="15">
      <c r="A55" s="152"/>
      <c r="B55" s="14" t="s">
        <v>44</v>
      </c>
      <c r="C55" s="9">
        <v>6240</v>
      </c>
    </row>
    <row r="56" spans="1:3" ht="15">
      <c r="A56" s="152"/>
      <c r="B56" s="14" t="s">
        <v>45</v>
      </c>
      <c r="C56" s="9">
        <v>6250</v>
      </c>
    </row>
    <row r="57" spans="1:3" ht="15">
      <c r="A57" s="152"/>
      <c r="B57" s="14" t="s">
        <v>46</v>
      </c>
      <c r="C57" s="9">
        <v>6260</v>
      </c>
    </row>
    <row r="58" spans="1:3" ht="15">
      <c r="A58" s="152"/>
      <c r="B58" s="14" t="s">
        <v>47</v>
      </c>
      <c r="C58" s="9">
        <v>6270</v>
      </c>
    </row>
    <row r="59" spans="1:3" ht="15">
      <c r="A59" s="152"/>
      <c r="B59" s="14" t="s">
        <v>67</v>
      </c>
      <c r="C59" s="9">
        <v>6280</v>
      </c>
    </row>
    <row r="60" spans="1:3" ht="15">
      <c r="A60" s="152"/>
      <c r="B60" s="14" t="s">
        <v>188</v>
      </c>
      <c r="C60" s="9">
        <v>6290</v>
      </c>
    </row>
    <row r="61" spans="1:3" ht="15">
      <c r="A61" s="152"/>
      <c r="B61" s="14" t="s">
        <v>48</v>
      </c>
      <c r="C61" s="9">
        <v>6300</v>
      </c>
    </row>
    <row r="62" spans="1:3" ht="15">
      <c r="A62" s="152" t="s">
        <v>49</v>
      </c>
      <c r="B62" s="14" t="s">
        <v>50</v>
      </c>
      <c r="C62" s="9">
        <v>7010</v>
      </c>
    </row>
    <row r="63" spans="1:3" ht="15">
      <c r="A63" s="152"/>
      <c r="B63" s="14" t="s">
        <v>51</v>
      </c>
      <c r="C63" s="9">
        <v>7020</v>
      </c>
    </row>
    <row r="64" spans="1:3" ht="15">
      <c r="A64" s="152"/>
      <c r="B64" s="14" t="s">
        <v>52</v>
      </c>
      <c r="C64" s="9">
        <v>7030</v>
      </c>
    </row>
    <row r="65" spans="1:3" ht="15">
      <c r="A65" s="152" t="s">
        <v>53</v>
      </c>
      <c r="B65" s="14" t="s">
        <v>54</v>
      </c>
      <c r="C65" s="9">
        <v>7110</v>
      </c>
    </row>
    <row r="66" spans="1:3" ht="15.75" thickBot="1">
      <c r="A66" s="153"/>
      <c r="B66" s="15" t="s">
        <v>55</v>
      </c>
      <c r="C66" s="11">
        <v>7120</v>
      </c>
    </row>
    <row r="67" spans="1:3" ht="15" thickTop="1"/>
  </sheetData>
  <mergeCells count="12">
    <mergeCell ref="A45:A46"/>
    <mergeCell ref="A65:A66"/>
    <mergeCell ref="A62:A64"/>
    <mergeCell ref="A52:A61"/>
    <mergeCell ref="A50:A51"/>
    <mergeCell ref="A47:A48"/>
    <mergeCell ref="A3:A8"/>
    <mergeCell ref="A9:A11"/>
    <mergeCell ref="A43:A44"/>
    <mergeCell ref="A40:A42"/>
    <mergeCell ref="A36:A39"/>
    <mergeCell ref="A32:A3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19"/>
  <sheetViews>
    <sheetView workbookViewId="0">
      <selection activeCell="B2" sqref="B2"/>
    </sheetView>
  </sheetViews>
  <sheetFormatPr defaultColWidth="8.75" defaultRowHeight="14.25"/>
  <cols>
    <col min="1" max="16384" width="8.75" style="1"/>
  </cols>
  <sheetData>
    <row r="2" spans="2:2" ht="15">
      <c r="B2" s="3">
        <v>45839</v>
      </c>
    </row>
    <row r="3" spans="2:2" ht="15">
      <c r="B3" s="3">
        <v>45870</v>
      </c>
    </row>
    <row r="4" spans="2:2" ht="15">
      <c r="B4" s="3">
        <v>45901</v>
      </c>
    </row>
    <row r="5" spans="2:2" ht="15">
      <c r="B5" s="3">
        <v>45931</v>
      </c>
    </row>
    <row r="6" spans="2:2" ht="15">
      <c r="B6" s="3">
        <v>45962</v>
      </c>
    </row>
    <row r="7" spans="2:2" ht="15">
      <c r="B7" s="3">
        <v>45992</v>
      </c>
    </row>
    <row r="8" spans="2:2" ht="15">
      <c r="B8" s="3">
        <v>46023</v>
      </c>
    </row>
    <row r="9" spans="2:2" ht="15">
      <c r="B9" s="3">
        <v>46054</v>
      </c>
    </row>
    <row r="10" spans="2:2" ht="15">
      <c r="B10" s="3">
        <v>46082</v>
      </c>
    </row>
    <row r="11" spans="2:2" ht="15">
      <c r="B11" s="3">
        <v>46113</v>
      </c>
    </row>
    <row r="12" spans="2:2" ht="15">
      <c r="B12" s="3">
        <v>46143</v>
      </c>
    </row>
    <row r="13" spans="2:2" ht="15">
      <c r="B13" s="3">
        <v>46174</v>
      </c>
    </row>
    <row r="14" spans="2:2" ht="15">
      <c r="B14" s="3">
        <v>46204</v>
      </c>
    </row>
    <row r="15" spans="2:2" ht="15">
      <c r="B15" s="3">
        <v>46235</v>
      </c>
    </row>
    <row r="16" spans="2:2" ht="15">
      <c r="B16" s="3">
        <v>46266</v>
      </c>
    </row>
    <row r="17" spans="2:2" ht="15">
      <c r="B17" s="3">
        <v>46296</v>
      </c>
    </row>
    <row r="18" spans="2:2" ht="15">
      <c r="B18" s="3">
        <v>46327</v>
      </c>
    </row>
    <row r="19" spans="2:2" ht="15">
      <c r="B19" s="3">
        <v>46357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5"/>
  <sheetViews>
    <sheetView workbookViewId="0">
      <selection activeCell="H13" sqref="H13"/>
    </sheetView>
  </sheetViews>
  <sheetFormatPr defaultColWidth="8.75" defaultRowHeight="14.25"/>
  <cols>
    <col min="1" max="1" width="8.75" style="1"/>
    <col min="2" max="2" width="11.375" style="17" bestFit="1" customWidth="1"/>
    <col min="3" max="3" width="11.375" style="17" customWidth="1"/>
    <col min="4" max="4" width="8.75" style="17"/>
    <col min="5" max="5" width="21.5" style="19" bestFit="1" customWidth="1"/>
    <col min="6" max="6" width="12.625" style="19" bestFit="1" customWidth="1"/>
    <col min="7" max="8" width="8.75" style="24"/>
    <col min="9" max="9" width="10.125" style="24" bestFit="1" customWidth="1"/>
    <col min="10" max="12" width="8.75" style="1"/>
    <col min="13" max="13" width="16.75" style="1" bestFit="1" customWidth="1"/>
    <col min="14" max="15" width="13.75" style="1" bestFit="1" customWidth="1"/>
    <col min="16" max="16384" width="8.75" style="1"/>
  </cols>
  <sheetData>
    <row r="2" spans="2:15" ht="15">
      <c r="B2" s="16" t="s">
        <v>79</v>
      </c>
      <c r="C2" s="16"/>
      <c r="D2" s="16"/>
      <c r="E2" s="18" t="s">
        <v>78</v>
      </c>
      <c r="F2" s="18"/>
      <c r="G2" s="23"/>
      <c r="H2" s="23" t="s">
        <v>80</v>
      </c>
    </row>
    <row r="3" spans="2:15">
      <c r="L3" s="1" t="s">
        <v>90</v>
      </c>
      <c r="M3" s="1" t="s">
        <v>93</v>
      </c>
      <c r="N3" s="26">
        <f>F9+F8</f>
        <v>2500000</v>
      </c>
    </row>
    <row r="4" spans="2:15">
      <c r="L4" s="1" t="s">
        <v>90</v>
      </c>
      <c r="M4" s="1" t="s">
        <v>82</v>
      </c>
      <c r="N4" s="26">
        <f>F6</f>
        <v>942000</v>
      </c>
    </row>
    <row r="5" spans="2:15">
      <c r="B5" s="17" t="s">
        <v>87</v>
      </c>
      <c r="C5" s="22">
        <v>30000000</v>
      </c>
      <c r="E5" s="19" t="s">
        <v>81</v>
      </c>
      <c r="F5" s="20">
        <v>30000000</v>
      </c>
      <c r="G5" s="24" t="s">
        <v>89</v>
      </c>
      <c r="I5" s="25">
        <v>3692000</v>
      </c>
      <c r="L5" s="1" t="s">
        <v>90</v>
      </c>
      <c r="M5" s="1" t="s">
        <v>94</v>
      </c>
      <c r="N5" s="26">
        <f>F5</f>
        <v>30000000</v>
      </c>
    </row>
    <row r="6" spans="2:15">
      <c r="E6" s="19" t="s">
        <v>82</v>
      </c>
      <c r="F6" s="20">
        <v>942000</v>
      </c>
      <c r="L6" s="1" t="s">
        <v>90</v>
      </c>
      <c r="M6" s="1" t="s">
        <v>83</v>
      </c>
      <c r="N6" s="26">
        <f>F7</f>
        <v>250000</v>
      </c>
    </row>
    <row r="7" spans="2:15">
      <c r="E7" s="19" t="s">
        <v>83</v>
      </c>
      <c r="F7" s="20">
        <v>250000</v>
      </c>
    </row>
    <row r="8" spans="2:15">
      <c r="E8" s="19" t="s">
        <v>84</v>
      </c>
      <c r="F8" s="20">
        <v>1500000</v>
      </c>
    </row>
    <row r="9" spans="2:15">
      <c r="E9" s="19" t="s">
        <v>85</v>
      </c>
      <c r="F9" s="20">
        <f>1000000</f>
        <v>1000000</v>
      </c>
      <c r="L9" s="1" t="s">
        <v>91</v>
      </c>
      <c r="M9" s="1" t="s">
        <v>87</v>
      </c>
      <c r="O9" s="27">
        <v>30000000</v>
      </c>
    </row>
    <row r="10" spans="2:15" ht="15">
      <c r="E10" s="18" t="s">
        <v>86</v>
      </c>
      <c r="F10" s="21">
        <f>SUM(F5:F9)</f>
        <v>33692000</v>
      </c>
      <c r="L10" s="1" t="s">
        <v>91</v>
      </c>
      <c r="M10" s="1" t="s">
        <v>92</v>
      </c>
      <c r="O10" s="26">
        <f>I5</f>
        <v>3692000</v>
      </c>
    </row>
    <row r="11" spans="2:15" ht="15">
      <c r="B11" s="154" t="s">
        <v>88</v>
      </c>
      <c r="C11" s="154"/>
      <c r="D11" s="154"/>
    </row>
    <row r="15" spans="2:15">
      <c r="N15" s="28"/>
    </row>
  </sheetData>
  <mergeCells count="1">
    <mergeCell ref="B11:D1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M28"/>
  <sheetViews>
    <sheetView topLeftCell="A10" workbookViewId="0">
      <selection activeCell="G16" sqref="G16"/>
    </sheetView>
  </sheetViews>
  <sheetFormatPr defaultRowHeight="14.25"/>
  <cols>
    <col min="3" max="4" width="10.875" bestFit="1" customWidth="1"/>
    <col min="5" max="5" width="18" bestFit="1" customWidth="1"/>
    <col min="7" max="8" width="10.875" bestFit="1" customWidth="1"/>
    <col min="10" max="10" width="11.125" bestFit="1" customWidth="1"/>
    <col min="11" max="11" width="11" bestFit="1" customWidth="1"/>
    <col min="12" max="13" width="11.125" bestFit="1" customWidth="1"/>
  </cols>
  <sheetData>
    <row r="2" spans="3:13">
      <c r="E2" s="30" t="s">
        <v>105</v>
      </c>
    </row>
    <row r="3" spans="3:13">
      <c r="D3" s="45">
        <v>942000</v>
      </c>
      <c r="E3" s="45">
        <v>143694.92000000001</v>
      </c>
      <c r="J3" s="46">
        <f>250000*3</f>
        <v>750000</v>
      </c>
      <c r="K3" s="46">
        <f>D3-J3</f>
        <v>192000</v>
      </c>
    </row>
    <row r="4" spans="3:13">
      <c r="J4" s="55">
        <f>J3*100/118</f>
        <v>635593.220338983</v>
      </c>
      <c r="K4" s="47">
        <f>K3*100/118</f>
        <v>162711.86440677967</v>
      </c>
    </row>
    <row r="6" spans="3:13">
      <c r="J6" s="48">
        <f>J4*2/3</f>
        <v>423728.81355932198</v>
      </c>
      <c r="K6" s="48">
        <f>J6+K4</f>
        <v>586440.67796610168</v>
      </c>
      <c r="L6">
        <f>250000</f>
        <v>250000</v>
      </c>
      <c r="M6">
        <f>L6*100/118</f>
        <v>211864.40677966102</v>
      </c>
    </row>
    <row r="7" spans="3:13">
      <c r="F7" t="s">
        <v>106</v>
      </c>
      <c r="G7" s="48"/>
      <c r="H7" s="48"/>
    </row>
    <row r="10" spans="3:13">
      <c r="C10" s="51">
        <v>500000</v>
      </c>
      <c r="D10" s="48">
        <f>C10*18/118</f>
        <v>76271.186440677964</v>
      </c>
      <c r="E10" s="48">
        <f>C10-D10</f>
        <v>423728.81355932204</v>
      </c>
      <c r="H10" t="s">
        <v>90</v>
      </c>
      <c r="I10" t="s">
        <v>106</v>
      </c>
      <c r="K10" s="45">
        <v>586440.67796610168</v>
      </c>
    </row>
    <row r="11" spans="3:13">
      <c r="H11" t="s">
        <v>90</v>
      </c>
      <c r="I11" t="s">
        <v>107</v>
      </c>
      <c r="K11" s="45">
        <v>143694.92000000001</v>
      </c>
    </row>
    <row r="12" spans="3:13">
      <c r="H12" t="s">
        <v>91</v>
      </c>
      <c r="I12" t="s">
        <v>108</v>
      </c>
      <c r="L12" s="48">
        <f>D3-M6</f>
        <v>730135.59322033892</v>
      </c>
    </row>
    <row r="13" spans="3:13">
      <c r="E13" s="48">
        <f>E10/2</f>
        <v>211864.40677966102</v>
      </c>
    </row>
    <row r="19" spans="3:13" ht="15">
      <c r="C19" s="32" t="s">
        <v>103</v>
      </c>
      <c r="D19" s="41">
        <f>IFERROR(VLOOKUP(E19,Accounts!$B$2:$C$66,2,FALSE),0)</f>
        <v>6210</v>
      </c>
      <c r="E19" s="32" t="s">
        <v>102</v>
      </c>
      <c r="F19" s="50">
        <v>586441</v>
      </c>
      <c r="G19" s="52"/>
    </row>
    <row r="20" spans="3:13" ht="15">
      <c r="C20" s="32" t="s">
        <v>103</v>
      </c>
      <c r="D20" s="41">
        <f>IFERROR(VLOOKUP(E20,Accounts!$B$2:$C$66,2,FALSE),0)</f>
        <v>2530</v>
      </c>
      <c r="E20" s="32" t="s">
        <v>104</v>
      </c>
      <c r="F20" s="50">
        <v>143695</v>
      </c>
      <c r="G20" s="53"/>
    </row>
    <row r="21" spans="3:13" ht="15">
      <c r="C21" s="43" t="s">
        <v>103</v>
      </c>
      <c r="D21" s="44">
        <f>IFERROR(VLOOKUP(E21,Accounts!$B$2:$C$66,2,FALSE),0)</f>
        <v>3050</v>
      </c>
      <c r="E21" s="43" t="s">
        <v>14</v>
      </c>
      <c r="F21" s="49"/>
      <c r="G21" s="54">
        <v>730135.59322033892</v>
      </c>
      <c r="I21">
        <f>942000</f>
        <v>942000</v>
      </c>
      <c r="K21" s="56">
        <f>I21-G21</f>
        <v>211864.40677966108</v>
      </c>
    </row>
    <row r="24" spans="3:13" ht="15">
      <c r="E24" s="57" t="s">
        <v>102</v>
      </c>
      <c r="F24" s="56">
        <v>211864.40677966108</v>
      </c>
    </row>
    <row r="25" spans="3:13" ht="15">
      <c r="E25" s="57" t="s">
        <v>94</v>
      </c>
      <c r="G25" s="56">
        <v>211864.40677966108</v>
      </c>
    </row>
    <row r="26" spans="3:13">
      <c r="I26" t="s">
        <v>106</v>
      </c>
      <c r="J26" s="51">
        <v>500000</v>
      </c>
    </row>
    <row r="28" spans="3:13">
      <c r="I28" t="s">
        <v>105</v>
      </c>
      <c r="J28" s="48">
        <f>J26*18/118</f>
        <v>76271.186440677964</v>
      </c>
      <c r="L28" s="48">
        <f>J26-J28</f>
        <v>423728.81355932204</v>
      </c>
      <c r="M28" s="48">
        <f>L28/2</f>
        <v>211864.40677966102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>
          <x14:formula1>
            <xm:f>Accounts!$B$3:$B$66</xm:f>
          </x14:formula1>
          <xm:sqref>E19:E21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Journal</vt:lpstr>
      <vt:lpstr>Detail1</vt:lpstr>
      <vt:lpstr>Sheet5</vt:lpstr>
      <vt:lpstr>Sheet3</vt:lpstr>
      <vt:lpstr>Sheet6</vt:lpstr>
      <vt:lpstr>Sheet2</vt:lpstr>
      <vt:lpstr>Sheet4</vt:lpstr>
      <vt:lpstr>Q1TB</vt:lpstr>
      <vt:lpstr>Interest Calculations</vt:lpstr>
      <vt:lpstr>Accounts</vt:lpstr>
      <vt:lpstr>Months</vt:lpstr>
      <vt:lpstr>Share capital entry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Nahimana Jean Nepomuscene</dc:creator>
  <cp:lastModifiedBy>hp</cp:lastModifiedBy>
  <dcterms:created xsi:type="dcterms:W3CDTF">2025-09-11T14:47:03Z</dcterms:created>
  <dcterms:modified xsi:type="dcterms:W3CDTF">2026-07-13T20:02:55Z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55c5eb89-a1ec-4cf8-b8d4-f6a23bcf8f72_Enabled">
    <vt:lpwstr>true</vt:lpwstr>
  </property>
  <property fmtid="{D5CDD505-2E9C-101B-9397-08002B2CF9AE}" pid="3" name="MSIP_Label_55c5eb89-a1ec-4cf8-b8d4-f6a23bcf8f72_SetDate">
    <vt:lpwstr>2025-09-11T16:32:08Z</vt:lpwstr>
  </property>
  <property fmtid="{D5CDD505-2E9C-101B-9397-08002B2CF9AE}" pid="4" name="MSIP_Label_55c5eb89-a1ec-4cf8-b8d4-f6a23bcf8f72_Method">
    <vt:lpwstr>Privileged</vt:lpwstr>
  </property>
  <property fmtid="{D5CDD505-2E9C-101B-9397-08002B2CF9AE}" pid="5" name="MSIP_Label_55c5eb89-a1ec-4cf8-b8d4-f6a23bcf8f72_Name">
    <vt:lpwstr>PUBLIC</vt:lpwstr>
  </property>
  <property fmtid="{D5CDD505-2E9C-101B-9397-08002B2CF9AE}" pid="6" name="MSIP_Label_55c5eb89-a1ec-4cf8-b8d4-f6a23bcf8f72_SiteId">
    <vt:lpwstr>968fd953-3deb-4543-8ab9-8b0f19e71ed9</vt:lpwstr>
  </property>
  <property fmtid="{D5CDD505-2E9C-101B-9397-08002B2CF9AE}" pid="7" name="MSIP_Label_55c5eb89-a1ec-4cf8-b8d4-f6a23bcf8f72_ActionId">
    <vt:lpwstr>b422fbab-fba7-438e-b9ba-c197f86fb460</vt:lpwstr>
  </property>
  <property fmtid="{D5CDD505-2E9C-101B-9397-08002B2CF9AE}" pid="8" name="MSIP_Label_55c5eb89-a1ec-4cf8-b8d4-f6a23bcf8f72_ContentBits">
    <vt:lpwstr>0</vt:lpwstr>
  </property>
  <property fmtid="{D5CDD505-2E9C-101B-9397-08002B2CF9AE}" pid="9" name="MSIP_Label_55c5eb89-a1ec-4cf8-b8d4-f6a23bcf8f72_Tag">
    <vt:lpwstr>10, 0, 1, 1</vt:lpwstr>
  </property>
</Properties>
</file>